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北京交通大学\大二下\电设\"/>
    </mc:Choice>
  </mc:AlternateContent>
  <xr:revisionPtr revIDLastSave="0" documentId="13_ncr:1_{6DAEACE7-CC53-4F3F-8E05-E2F828E81629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2" i="2" l="1"/>
  <c r="S22" i="2" s="1"/>
  <c r="P23" i="2"/>
  <c r="S23" i="2" s="1"/>
  <c r="P24" i="2"/>
  <c r="S24" i="2" s="1"/>
  <c r="P25" i="2"/>
  <c r="S25" i="2" s="1"/>
  <c r="P26" i="2"/>
  <c r="S26" i="2" s="1"/>
  <c r="P27" i="2"/>
  <c r="S27" i="2" s="1"/>
  <c r="P28" i="2"/>
  <c r="S28" i="2" s="1"/>
  <c r="P29" i="2"/>
  <c r="S29" i="2" s="1"/>
  <c r="P30" i="2"/>
  <c r="S30" i="2" s="1"/>
  <c r="P31" i="2"/>
  <c r="P32" i="2"/>
  <c r="P33" i="2"/>
  <c r="P34" i="2"/>
  <c r="P35" i="2"/>
  <c r="P21" i="2"/>
  <c r="S21" i="2" s="1"/>
  <c r="P19" i="2"/>
  <c r="O19" i="2"/>
  <c r="N19" i="2"/>
  <c r="Q19" i="2" s="1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20" i="2"/>
  <c r="P36" i="2"/>
  <c r="P37" i="2"/>
  <c r="P38" i="2"/>
  <c r="P39" i="2"/>
  <c r="P40" i="2"/>
  <c r="P41" i="2"/>
  <c r="P42" i="2"/>
  <c r="P43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R32" i="2" s="1"/>
  <c r="O33" i="2"/>
  <c r="R33" i="2" s="1"/>
  <c r="O34" i="2"/>
  <c r="R34" i="2" s="1"/>
  <c r="O35" i="2"/>
  <c r="R35" i="2" s="1"/>
  <c r="O36" i="2"/>
  <c r="R36" i="2" s="1"/>
  <c r="O37" i="2"/>
  <c r="R37" i="2" s="1"/>
  <c r="O38" i="2"/>
  <c r="O39" i="2"/>
  <c r="O40" i="2"/>
  <c r="O41" i="2"/>
  <c r="O42" i="2"/>
  <c r="R42" i="2" s="1"/>
  <c r="O43" i="2"/>
  <c r="R43" i="2" s="1"/>
  <c r="O4" i="2"/>
  <c r="P4" i="2"/>
  <c r="N6" i="2"/>
  <c r="Q6" i="2" s="1"/>
  <c r="N5" i="2"/>
  <c r="Q5" i="2" s="1"/>
  <c r="N7" i="2"/>
  <c r="Q7" i="2" s="1"/>
  <c r="N8" i="2"/>
  <c r="Q8" i="2" s="1"/>
  <c r="N9" i="2"/>
  <c r="Q9" i="2" s="1"/>
  <c r="N10" i="2"/>
  <c r="Q10" i="2" s="1"/>
  <c r="N11" i="2"/>
  <c r="Q11" i="2" s="1"/>
  <c r="N12" i="2"/>
  <c r="Q12" i="2" s="1"/>
  <c r="N13" i="2"/>
  <c r="Q13" i="2" s="1"/>
  <c r="N14" i="2"/>
  <c r="Q14" i="2" s="1"/>
  <c r="N15" i="2"/>
  <c r="Q15" i="2" s="1"/>
  <c r="N16" i="2"/>
  <c r="Q16" i="2" s="1"/>
  <c r="N17" i="2"/>
  <c r="Q17" i="2" s="1"/>
  <c r="N18" i="2"/>
  <c r="Q18" i="2" s="1"/>
  <c r="N20" i="2"/>
  <c r="Q20" i="2" s="1"/>
  <c r="N21" i="2"/>
  <c r="Q21" i="2" s="1"/>
  <c r="N22" i="2"/>
  <c r="Q22" i="2" s="1"/>
  <c r="N23" i="2"/>
  <c r="N24" i="2"/>
  <c r="Q24" i="2" s="1"/>
  <c r="N25" i="2"/>
  <c r="Q25" i="2" s="1"/>
  <c r="N26" i="2"/>
  <c r="Q26" i="2" s="1"/>
  <c r="N27" i="2"/>
  <c r="Q27" i="2" s="1"/>
  <c r="N28" i="2"/>
  <c r="Q28" i="2" s="1"/>
  <c r="N29" i="2"/>
  <c r="Q29" i="2" s="1"/>
  <c r="N30" i="2"/>
  <c r="Q30" i="2" s="1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" i="2"/>
  <c r="Q4" i="2" s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S25" i="1" s="1"/>
  <c r="P26" i="1"/>
  <c r="S26" i="1" s="1"/>
  <c r="P27" i="1"/>
  <c r="S27" i="1" s="1"/>
  <c r="P28" i="1"/>
  <c r="S28" i="1" s="1"/>
  <c r="P29" i="1"/>
  <c r="S29" i="1" s="1"/>
  <c r="P30" i="1"/>
  <c r="S30" i="1" s="1"/>
  <c r="P31" i="1"/>
  <c r="S31" i="1" s="1"/>
  <c r="P32" i="1"/>
  <c r="S32" i="1" s="1"/>
  <c r="P33" i="1"/>
  <c r="S33" i="1" s="1"/>
  <c r="P34" i="1"/>
  <c r="S34" i="1" s="1"/>
  <c r="P35" i="1"/>
  <c r="S35" i="1" s="1"/>
  <c r="P36" i="1"/>
  <c r="S36" i="1" s="1"/>
  <c r="P37" i="1"/>
  <c r="S37" i="1" s="1"/>
  <c r="P38" i="1"/>
  <c r="S38" i="1" s="1"/>
  <c r="P39" i="1"/>
  <c r="S39" i="1" s="1"/>
  <c r="P40" i="1"/>
  <c r="S40" i="1" s="1"/>
  <c r="P4" i="1"/>
  <c r="O5" i="1"/>
  <c r="O6" i="1"/>
  <c r="O7" i="1"/>
  <c r="O8" i="1"/>
  <c r="O9" i="1"/>
  <c r="R9" i="1" s="1"/>
  <c r="O10" i="1"/>
  <c r="R10" i="1" s="1"/>
  <c r="O11" i="1"/>
  <c r="R11" i="1" s="1"/>
  <c r="O12" i="1"/>
  <c r="R12" i="1" s="1"/>
  <c r="O13" i="1"/>
  <c r="R13" i="1" s="1"/>
  <c r="O14" i="1"/>
  <c r="R14" i="1" s="1"/>
  <c r="O15" i="1"/>
  <c r="R15" i="1" s="1"/>
  <c r="O16" i="1"/>
  <c r="R16" i="1" s="1"/>
  <c r="O17" i="1"/>
  <c r="R17" i="1" s="1"/>
  <c r="O18" i="1"/>
  <c r="R18" i="1" s="1"/>
  <c r="O19" i="1"/>
  <c r="R19" i="1" s="1"/>
  <c r="O20" i="1"/>
  <c r="R20" i="1" s="1"/>
  <c r="O21" i="1"/>
  <c r="R21" i="1" s="1"/>
  <c r="O22" i="1"/>
  <c r="R22" i="1" s="1"/>
  <c r="O23" i="1"/>
  <c r="R23" i="1" s="1"/>
  <c r="O24" i="1"/>
  <c r="R24" i="1" s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" i="1"/>
  <c r="N5" i="1"/>
  <c r="Q5" i="1" s="1"/>
  <c r="N6" i="1"/>
  <c r="Q6" i="1" s="1"/>
  <c r="N7" i="1"/>
  <c r="Q7" i="1" s="1"/>
  <c r="N8" i="1"/>
  <c r="Q8" i="1" s="1"/>
  <c r="N9" i="1"/>
  <c r="Q9" i="1" s="1"/>
  <c r="N10" i="1"/>
  <c r="Q10" i="1" s="1"/>
  <c r="N11" i="1"/>
  <c r="Q11" i="1" s="1"/>
  <c r="N12" i="1"/>
  <c r="Q12" i="1" s="1"/>
  <c r="N13" i="1"/>
  <c r="Q13" i="1" s="1"/>
  <c r="N14" i="1"/>
  <c r="Q14" i="1" s="1"/>
  <c r="N15" i="1"/>
  <c r="Q15" i="1" s="1"/>
  <c r="N16" i="1"/>
  <c r="Q16" i="1" s="1"/>
  <c r="N17" i="1"/>
  <c r="Q17" i="1" s="1"/>
  <c r="N18" i="1"/>
  <c r="Q18" i="1" s="1"/>
  <c r="N19" i="1"/>
  <c r="Q19" i="1" s="1"/>
  <c r="N20" i="1"/>
  <c r="Q20" i="1" s="1"/>
  <c r="N21" i="1"/>
  <c r="Q21" i="1" s="1"/>
  <c r="N22" i="1"/>
  <c r="Q22" i="1" s="1"/>
  <c r="N23" i="1"/>
  <c r="Q23" i="1" s="1"/>
  <c r="N24" i="1"/>
  <c r="Q24" i="1" s="1"/>
  <c r="N25" i="1"/>
  <c r="Q25" i="1" s="1"/>
  <c r="N26" i="1"/>
  <c r="Q26" i="1" s="1"/>
  <c r="N27" i="1"/>
  <c r="Q27" i="1" s="1"/>
  <c r="N28" i="1"/>
  <c r="Q28" i="1" s="1"/>
  <c r="N29" i="1"/>
  <c r="Q29" i="1" s="1"/>
  <c r="N30" i="1"/>
  <c r="Q30" i="1" s="1"/>
  <c r="N31" i="1"/>
  <c r="Q31" i="1" s="1"/>
  <c r="N32" i="1"/>
  <c r="Q32" i="1" s="1"/>
  <c r="N33" i="1"/>
  <c r="Q33" i="1" s="1"/>
  <c r="N34" i="1"/>
  <c r="Q34" i="1" s="1"/>
  <c r="N35" i="1"/>
  <c r="Q35" i="1" s="1"/>
  <c r="N36" i="1"/>
  <c r="Q36" i="1" s="1"/>
  <c r="N37" i="1"/>
  <c r="Q37" i="1" s="1"/>
  <c r="N38" i="1"/>
  <c r="Q38" i="1" s="1"/>
  <c r="N39" i="1"/>
  <c r="Q39" i="1" s="1"/>
  <c r="N40" i="1"/>
  <c r="Q40" i="1" s="1"/>
  <c r="N4" i="1"/>
  <c r="Q4" i="1" s="1"/>
  <c r="R31" i="2"/>
  <c r="Q23" i="2"/>
  <c r="U34" i="1"/>
  <c r="U35" i="1"/>
  <c r="U36" i="1"/>
  <c r="U37" i="1"/>
  <c r="U38" i="1"/>
  <c r="U39" i="1"/>
  <c r="U40" i="1"/>
  <c r="U33" i="1"/>
</calcChain>
</file>

<file path=xl/sharedStrings.xml><?xml version="1.0" encoding="utf-8"?>
<sst xmlns="http://schemas.openxmlformats.org/spreadsheetml/2006/main" count="61" uniqueCount="24">
  <si>
    <t>电阻</t>
    <phoneticPr fontId="1" type="noConversion"/>
  </si>
  <si>
    <t>纯电阻</t>
    <phoneticPr fontId="1" type="noConversion"/>
  </si>
  <si>
    <t>理论值</t>
    <phoneticPr fontId="1" type="noConversion"/>
  </si>
  <si>
    <t>测量值</t>
    <phoneticPr fontId="1" type="noConversion"/>
  </si>
  <si>
    <t>误差</t>
    <phoneticPr fontId="1" type="noConversion"/>
  </si>
  <si>
    <t>电阻Ω</t>
    <phoneticPr fontId="1" type="noConversion"/>
  </si>
  <si>
    <t>电感mH</t>
    <phoneticPr fontId="1" type="noConversion"/>
  </si>
  <si>
    <t>第一次</t>
    <phoneticPr fontId="1" type="noConversion"/>
  </si>
  <si>
    <t>第二次</t>
    <phoneticPr fontId="1" type="noConversion"/>
  </si>
  <si>
    <t>平均值</t>
    <phoneticPr fontId="1" type="noConversion"/>
  </si>
  <si>
    <t>电容</t>
    <phoneticPr fontId="1" type="noConversion"/>
  </si>
  <si>
    <t>电感</t>
    <phoneticPr fontId="1" type="noConversion"/>
  </si>
  <si>
    <t>RC串联</t>
    <phoneticPr fontId="1" type="noConversion"/>
  </si>
  <si>
    <t>电容nF</t>
    <phoneticPr fontId="1" type="noConversion"/>
  </si>
  <si>
    <t>备注</t>
    <phoneticPr fontId="1" type="noConversion"/>
  </si>
  <si>
    <t>RC并联</t>
    <phoneticPr fontId="1" type="noConversion"/>
  </si>
  <si>
    <t>RL串联</t>
    <phoneticPr fontId="1" type="noConversion"/>
  </si>
  <si>
    <t>RL并联</t>
    <phoneticPr fontId="1" type="noConversion"/>
  </si>
  <si>
    <t>电阻/ESR</t>
    <phoneticPr fontId="1" type="noConversion"/>
  </si>
  <si>
    <t>KΩ</t>
    <phoneticPr fontId="1" type="noConversion"/>
  </si>
  <si>
    <t>电阻Ω/ESR</t>
    <phoneticPr fontId="1" type="noConversion"/>
  </si>
  <si>
    <t>uF</t>
    <phoneticPr fontId="1" type="noConversion"/>
  </si>
  <si>
    <t>第三次</t>
    <phoneticPr fontId="1" type="noConversion"/>
  </si>
  <si>
    <t xml:space="preserve">电容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</si>
</sst>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2" fillId="0" borderId="1" xfId="0" applyFont="1" applyBorder="1" applyAlignment="1">
      <alignment horizontal="center"/>
    </xf>
    <xf numFmtId="10" fontId="2" fillId="0" borderId="8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0" fontId="2" fillId="0" borderId="10" xfId="0" applyNumberFormat="1" applyFont="1" applyBorder="1" applyAlignment="1">
      <alignment horizontal="center"/>
    </xf>
    <xf numFmtId="10" fontId="2" fillId="0" borderId="7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0" fontId="2" fillId="0" borderId="11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10" fontId="2" fillId="0" borderId="12" xfId="0" applyNumberFormat="1" applyFont="1" applyBorder="1" applyAlignment="1">
      <alignment horizontal="center"/>
    </xf>
    <xf numFmtId="10" fontId="2" fillId="0" borderId="13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" xfId="0" applyFont="1" applyBorder="1"/>
    <xf numFmtId="0" fontId="2" fillId="0" borderId="12" xfId="0" applyFont="1" applyBorder="1"/>
    <xf numFmtId="0" fontId="2" fillId="0" borderId="7" xfId="0" applyFont="1" applyBorder="1"/>
    <xf numFmtId="0" fontId="2" fillId="0" borderId="13" xfId="0" applyFont="1" applyBorder="1"/>
    <xf numFmtId="0" fontId="2" fillId="0" borderId="1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0" fontId="2" fillId="0" borderId="14" xfId="0" applyNumberFormat="1" applyFont="1" applyBorder="1" applyAlignment="1">
      <alignment horizontal="center" vertical="center"/>
    </xf>
    <xf numFmtId="10" fontId="2" fillId="0" borderId="10" xfId="0" applyNumberFormat="1" applyFont="1" applyBorder="1" applyAlignment="1">
      <alignment horizontal="center" vertical="center"/>
    </xf>
    <xf numFmtId="10" fontId="2" fillId="0" borderId="11" xfId="0" applyNumberFormat="1" applyFont="1" applyBorder="1" applyAlignment="1">
      <alignment horizontal="center" vertical="center"/>
    </xf>
    <xf numFmtId="10" fontId="2" fillId="0" borderId="16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0" fontId="2" fillId="0" borderId="12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0" fontId="2" fillId="0" borderId="17" xfId="0" applyNumberFormat="1" applyFont="1" applyBorder="1" applyAlignment="1">
      <alignment horizontal="center" vertical="center"/>
    </xf>
    <xf numFmtId="10" fontId="2" fillId="0" borderId="7" xfId="0" applyNumberFormat="1" applyFont="1" applyBorder="1" applyAlignment="1">
      <alignment horizontal="center" vertical="center"/>
    </xf>
    <xf numFmtId="10" fontId="2" fillId="0" borderId="13" xfId="0" applyNumberFormat="1" applyFont="1" applyBorder="1" applyAlignment="1">
      <alignment horizontal="center" vertical="center"/>
    </xf>
    <xf numFmtId="10" fontId="2" fillId="0" borderId="9" xfId="0" applyNumberFormat="1" applyFont="1" applyBorder="1" applyAlignment="1">
      <alignment horizontal="center" vertical="center"/>
    </xf>
    <xf numFmtId="10" fontId="2" fillId="0" borderId="18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0" fontId="2" fillId="0" borderId="8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3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" xfId="0" applyFont="1" applyBorder="1"/>
    <xf numFmtId="0" fontId="2" fillId="0" borderId="34" xfId="0" applyFont="1" applyBorder="1"/>
    <xf numFmtId="0" fontId="2" fillId="0" borderId="3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3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0" fontId="2" fillId="0" borderId="37" xfId="0" applyNumberFormat="1" applyFont="1" applyBorder="1" applyAlignment="1">
      <alignment horizontal="center" vertical="center"/>
    </xf>
    <xf numFmtId="10" fontId="2" fillId="0" borderId="38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10" fontId="2" fillId="0" borderId="4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0" fontId="2" fillId="0" borderId="15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22" xfId="0" applyNumberFormat="1" applyFont="1" applyBorder="1" applyAlignment="1">
      <alignment horizontal="center"/>
    </xf>
    <xf numFmtId="0" fontId="2" fillId="0" borderId="41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/>
    </xf>
    <xf numFmtId="0" fontId="2" fillId="0" borderId="8" xfId="0" applyFont="1" applyBorder="1"/>
    <xf numFmtId="0" fontId="2" fillId="0" borderId="38" xfId="0" applyFont="1" applyBorder="1"/>
    <xf numFmtId="0" fontId="2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38" xfId="0" applyFont="1" applyBorder="1" applyAlignment="1">
      <alignment horizontal="center"/>
    </xf>
    <xf numFmtId="10" fontId="2" fillId="0" borderId="6" xfId="0" applyNumberFormat="1" applyFont="1" applyBorder="1" applyAlignment="1">
      <alignment horizontal="center"/>
    </xf>
    <xf numFmtId="0" fontId="2" fillId="0" borderId="42" xfId="0" applyFont="1" applyBorder="1" applyAlignment="1">
      <alignment horizontal="center" vertical="center"/>
    </xf>
    <xf numFmtId="0" fontId="2" fillId="0" borderId="18" xfId="0" applyFont="1" applyBorder="1"/>
    <xf numFmtId="0" fontId="2" fillId="0" borderId="9" xfId="0" applyFont="1" applyBorder="1"/>
    <xf numFmtId="0" fontId="2" fillId="0" borderId="27" xfId="0" applyFont="1" applyBorder="1"/>
    <xf numFmtId="10" fontId="2" fillId="0" borderId="5" xfId="0" applyNumberFormat="1" applyFont="1" applyBorder="1" applyAlignment="1">
      <alignment horizontal="center"/>
    </xf>
    <xf numFmtId="10" fontId="2" fillId="0" borderId="9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0" fontId="2" fillId="0" borderId="38" xfId="0" applyNumberFormat="1" applyFont="1" applyBorder="1" applyAlignment="1">
      <alignment horizontal="center"/>
    </xf>
    <xf numFmtId="10" fontId="2" fillId="0" borderId="18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3"/>
  <sheetViews>
    <sheetView topLeftCell="A16" workbookViewId="0">
      <selection activeCell="K6" sqref="K6"/>
    </sheetView>
  </sheetViews>
  <sheetFormatPr defaultRowHeight="14" x14ac:dyDescent="0.3"/>
  <cols>
    <col min="1" max="19" width="8.6640625" style="1"/>
    <col min="20" max="20" width="58.4140625" style="1" bestFit="1" customWidth="1"/>
    <col min="21" max="16384" width="8.6640625" style="1"/>
  </cols>
  <sheetData>
    <row r="1" spans="1:21" s="32" customFormat="1" x14ac:dyDescent="0.3">
      <c r="A1" s="70"/>
      <c r="B1" s="64" t="s">
        <v>2</v>
      </c>
      <c r="C1" s="65"/>
      <c r="D1" s="66"/>
      <c r="E1" s="64" t="s">
        <v>3</v>
      </c>
      <c r="F1" s="84"/>
      <c r="G1" s="65"/>
      <c r="H1" s="65"/>
      <c r="I1" s="65"/>
      <c r="J1" s="65"/>
      <c r="K1" s="65"/>
      <c r="L1" s="88"/>
      <c r="M1" s="88"/>
      <c r="N1" s="64" t="s">
        <v>9</v>
      </c>
      <c r="O1" s="65"/>
      <c r="P1" s="66"/>
      <c r="Q1" s="84" t="s">
        <v>4</v>
      </c>
      <c r="R1" s="65"/>
      <c r="S1" s="66"/>
      <c r="T1" s="20" t="s">
        <v>14</v>
      </c>
      <c r="U1" s="26"/>
    </row>
    <row r="2" spans="1:21" x14ac:dyDescent="0.3">
      <c r="A2" s="71"/>
      <c r="B2" s="69" t="s">
        <v>5</v>
      </c>
      <c r="C2" s="67" t="s">
        <v>13</v>
      </c>
      <c r="D2" s="68" t="s">
        <v>6</v>
      </c>
      <c r="E2" s="74" t="s">
        <v>0</v>
      </c>
      <c r="F2" s="85"/>
      <c r="G2" s="75"/>
      <c r="H2" s="89" t="s">
        <v>10</v>
      </c>
      <c r="I2" s="96"/>
      <c r="J2" s="85"/>
      <c r="K2" s="75" t="s">
        <v>11</v>
      </c>
      <c r="L2" s="89"/>
      <c r="M2" s="89"/>
      <c r="N2" s="69" t="s">
        <v>0</v>
      </c>
      <c r="O2" s="67" t="s">
        <v>10</v>
      </c>
      <c r="P2" s="68" t="s">
        <v>11</v>
      </c>
      <c r="Q2" s="76" t="s">
        <v>0</v>
      </c>
      <c r="R2" s="67" t="s">
        <v>10</v>
      </c>
      <c r="S2" s="68" t="s">
        <v>11</v>
      </c>
      <c r="T2" s="21"/>
      <c r="U2" s="6"/>
    </row>
    <row r="3" spans="1:21" ht="14.5" thickBot="1" x14ac:dyDescent="0.35">
      <c r="A3" s="72"/>
      <c r="B3" s="112"/>
      <c r="C3" s="110"/>
      <c r="D3" s="113"/>
      <c r="E3" s="12" t="s">
        <v>7</v>
      </c>
      <c r="F3" s="3" t="s">
        <v>8</v>
      </c>
      <c r="G3" s="3" t="s">
        <v>22</v>
      </c>
      <c r="H3" s="3" t="s">
        <v>7</v>
      </c>
      <c r="I3" s="3" t="s">
        <v>8</v>
      </c>
      <c r="J3" s="3" t="s">
        <v>22</v>
      </c>
      <c r="K3" s="3" t="s">
        <v>7</v>
      </c>
      <c r="L3" s="95" t="s">
        <v>8</v>
      </c>
      <c r="M3" s="3" t="s">
        <v>22</v>
      </c>
      <c r="N3" s="109"/>
      <c r="O3" s="110"/>
      <c r="P3" s="113"/>
      <c r="Q3" s="109"/>
      <c r="R3" s="110"/>
      <c r="S3" s="113"/>
      <c r="T3" s="22"/>
      <c r="U3" s="6"/>
    </row>
    <row r="4" spans="1:21" x14ac:dyDescent="0.3">
      <c r="A4" s="117" t="s">
        <v>1</v>
      </c>
      <c r="B4" s="118">
        <v>1000</v>
      </c>
      <c r="C4" s="119"/>
      <c r="D4" s="120"/>
      <c r="E4" s="118">
        <v>995</v>
      </c>
      <c r="F4" s="121">
        <v>994.5</v>
      </c>
      <c r="G4" s="5">
        <v>995</v>
      </c>
      <c r="H4" s="5"/>
      <c r="I4" s="119"/>
      <c r="J4" s="119"/>
      <c r="K4" s="119"/>
      <c r="L4" s="122"/>
      <c r="M4" s="122"/>
      <c r="N4" s="118">
        <f>(ABS(E4+F4+G4))/3</f>
        <v>994.83333333333337</v>
      </c>
      <c r="O4" s="5">
        <f>(I4+J4+H4)/3</f>
        <v>0</v>
      </c>
      <c r="P4" s="123">
        <f>(K4+M4+L4)/3</f>
        <v>0</v>
      </c>
      <c r="Q4" s="124">
        <f>(ABS(N4-B4))/B4</f>
        <v>5.1666666666666285E-3</v>
      </c>
      <c r="R4" s="2"/>
      <c r="S4" s="123"/>
      <c r="T4" s="23"/>
      <c r="U4" s="6"/>
    </row>
    <row r="5" spans="1:21" x14ac:dyDescent="0.3">
      <c r="A5" s="71"/>
      <c r="B5" s="11">
        <v>20000</v>
      </c>
      <c r="C5" s="39"/>
      <c r="D5" s="40"/>
      <c r="E5" s="11">
        <v>19200</v>
      </c>
      <c r="F5" s="6">
        <v>19227</v>
      </c>
      <c r="G5" s="1">
        <v>19356</v>
      </c>
      <c r="I5" s="39"/>
      <c r="J5" s="39"/>
      <c r="K5" s="39"/>
      <c r="L5" s="91"/>
      <c r="M5" s="91"/>
      <c r="N5" s="11">
        <f t="shared" ref="N5:N40" si="0">(ABS(E5+F5+G5))/3</f>
        <v>19261</v>
      </c>
      <c r="O5" s="1">
        <f t="shared" ref="O5:O40" si="1">(I5+J5+H5)/3</f>
        <v>0</v>
      </c>
      <c r="P5" s="14">
        <f t="shared" ref="P5:P40" si="2">(K5+M5+L5)/3</f>
        <v>0</v>
      </c>
      <c r="Q5" s="115">
        <f t="shared" ref="Q5:Q40" si="3">(ABS(N5-B5))/B5</f>
        <v>3.6949999999999997E-2</v>
      </c>
      <c r="R5" s="4"/>
      <c r="S5" s="14"/>
      <c r="T5" s="21"/>
      <c r="U5" s="6"/>
    </row>
    <row r="6" spans="1:21" x14ac:dyDescent="0.3">
      <c r="A6" s="71"/>
      <c r="B6" s="11">
        <v>510</v>
      </c>
      <c r="C6" s="39"/>
      <c r="D6" s="40"/>
      <c r="E6" s="11">
        <v>514</v>
      </c>
      <c r="F6" s="6">
        <v>515</v>
      </c>
      <c r="G6" s="1">
        <v>515</v>
      </c>
      <c r="I6" s="39"/>
      <c r="J6" s="39"/>
      <c r="K6" s="39"/>
      <c r="L6" s="91"/>
      <c r="M6" s="91"/>
      <c r="N6" s="11">
        <f t="shared" si="0"/>
        <v>514.66666666666663</v>
      </c>
      <c r="O6" s="1">
        <f t="shared" si="1"/>
        <v>0</v>
      </c>
      <c r="P6" s="14">
        <f t="shared" si="2"/>
        <v>0</v>
      </c>
      <c r="Q6" s="115">
        <f t="shared" si="3"/>
        <v>9.1503267973855468E-3</v>
      </c>
      <c r="R6" s="4"/>
      <c r="S6" s="14"/>
      <c r="T6" s="21"/>
      <c r="U6" s="6"/>
    </row>
    <row r="7" spans="1:21" x14ac:dyDescent="0.3">
      <c r="A7" s="71"/>
      <c r="B7" s="11">
        <v>5100</v>
      </c>
      <c r="C7" s="39"/>
      <c r="D7" s="40"/>
      <c r="E7" s="11">
        <v>5075</v>
      </c>
      <c r="F7" s="6">
        <v>5075</v>
      </c>
      <c r="G7" s="1">
        <v>5073</v>
      </c>
      <c r="I7" s="39"/>
      <c r="J7" s="39"/>
      <c r="K7" s="39"/>
      <c r="L7" s="91"/>
      <c r="M7" s="91"/>
      <c r="N7" s="11">
        <f t="shared" si="0"/>
        <v>5074.333333333333</v>
      </c>
      <c r="O7" s="1">
        <f t="shared" si="1"/>
        <v>0</v>
      </c>
      <c r="P7" s="14">
        <f t="shared" si="2"/>
        <v>0</v>
      </c>
      <c r="Q7" s="115">
        <f t="shared" si="3"/>
        <v>5.0326797385621506E-3</v>
      </c>
      <c r="R7" s="4"/>
      <c r="S7" s="14"/>
      <c r="T7" s="21"/>
      <c r="U7" s="6"/>
    </row>
    <row r="8" spans="1:21" ht="14.5" thickBot="1" x14ac:dyDescent="0.35">
      <c r="A8" s="72"/>
      <c r="B8" s="12">
        <v>10000</v>
      </c>
      <c r="C8" s="41"/>
      <c r="D8" s="42"/>
      <c r="E8" s="12">
        <v>9784</v>
      </c>
      <c r="F8" s="87">
        <v>9803</v>
      </c>
      <c r="G8" s="3">
        <v>9789</v>
      </c>
      <c r="H8" s="3"/>
      <c r="I8" s="41"/>
      <c r="J8" s="41"/>
      <c r="K8" s="41"/>
      <c r="L8" s="92"/>
      <c r="M8" s="92"/>
      <c r="N8" s="12">
        <f t="shared" si="0"/>
        <v>9792</v>
      </c>
      <c r="O8" s="3">
        <f t="shared" si="1"/>
        <v>0</v>
      </c>
      <c r="P8" s="15">
        <f t="shared" si="2"/>
        <v>0</v>
      </c>
      <c r="Q8" s="116">
        <f t="shared" si="3"/>
        <v>2.0799999999999999E-2</v>
      </c>
      <c r="R8" s="8"/>
      <c r="S8" s="15"/>
      <c r="T8" s="21"/>
      <c r="U8" s="6"/>
    </row>
    <row r="9" spans="1:21" x14ac:dyDescent="0.3">
      <c r="A9" s="117" t="s">
        <v>12</v>
      </c>
      <c r="B9" s="118">
        <v>1000</v>
      </c>
      <c r="C9" s="5">
        <v>100</v>
      </c>
      <c r="D9" s="120"/>
      <c r="E9" s="118">
        <v>1075</v>
      </c>
      <c r="F9" s="121">
        <v>1075</v>
      </c>
      <c r="G9" s="5">
        <v>1077</v>
      </c>
      <c r="H9" s="5">
        <v>103</v>
      </c>
      <c r="I9" s="5">
        <v>103</v>
      </c>
      <c r="J9" s="5">
        <v>103</v>
      </c>
      <c r="K9" s="119"/>
      <c r="L9" s="122"/>
      <c r="M9" s="122"/>
      <c r="N9" s="118">
        <f t="shared" si="0"/>
        <v>1075.6666666666667</v>
      </c>
      <c r="O9" s="5">
        <f t="shared" si="1"/>
        <v>103</v>
      </c>
      <c r="P9" s="123">
        <f t="shared" si="2"/>
        <v>0</v>
      </c>
      <c r="Q9" s="124">
        <f t="shared" si="3"/>
        <v>7.5666666666666743E-2</v>
      </c>
      <c r="R9" s="2">
        <f t="shared" ref="R9:R24" si="4">(ABS(O9-C9))/C9</f>
        <v>0.03</v>
      </c>
      <c r="S9" s="123"/>
      <c r="T9" s="23"/>
      <c r="U9" s="6"/>
    </row>
    <row r="10" spans="1:21" x14ac:dyDescent="0.3">
      <c r="A10" s="71"/>
      <c r="B10" s="11">
        <v>1000</v>
      </c>
      <c r="C10" s="1">
        <v>220</v>
      </c>
      <c r="D10" s="40"/>
      <c r="E10" s="11">
        <v>1076</v>
      </c>
      <c r="F10" s="6">
        <v>1073</v>
      </c>
      <c r="G10" s="1">
        <v>1074</v>
      </c>
      <c r="H10" s="1">
        <v>228</v>
      </c>
      <c r="I10" s="1">
        <v>227</v>
      </c>
      <c r="J10" s="1">
        <v>229</v>
      </c>
      <c r="K10" s="39"/>
      <c r="L10" s="91"/>
      <c r="M10" s="91"/>
      <c r="N10" s="11">
        <f t="shared" si="0"/>
        <v>1074.3333333333333</v>
      </c>
      <c r="O10" s="1">
        <f t="shared" si="1"/>
        <v>228</v>
      </c>
      <c r="P10" s="14">
        <f t="shared" si="2"/>
        <v>0</v>
      </c>
      <c r="Q10" s="115">
        <f t="shared" si="3"/>
        <v>7.4333333333333251E-2</v>
      </c>
      <c r="R10" s="4">
        <f t="shared" si="4"/>
        <v>3.6363636363636362E-2</v>
      </c>
      <c r="S10" s="14"/>
      <c r="T10" s="22"/>
      <c r="U10" s="6"/>
    </row>
    <row r="11" spans="1:21" x14ac:dyDescent="0.3">
      <c r="A11" s="71"/>
      <c r="B11" s="11">
        <v>1000</v>
      </c>
      <c r="C11" s="1">
        <v>470</v>
      </c>
      <c r="D11" s="40"/>
      <c r="E11" s="11">
        <v>1076</v>
      </c>
      <c r="F11" s="6">
        <v>1076</v>
      </c>
      <c r="G11" s="1">
        <v>1076</v>
      </c>
      <c r="H11" s="1">
        <v>509</v>
      </c>
      <c r="I11" s="1">
        <v>516</v>
      </c>
      <c r="J11" s="1">
        <v>514</v>
      </c>
      <c r="K11" s="39"/>
      <c r="L11" s="91"/>
      <c r="M11" s="91"/>
      <c r="N11" s="11">
        <f t="shared" si="0"/>
        <v>1076</v>
      </c>
      <c r="O11" s="1">
        <f t="shared" si="1"/>
        <v>513</v>
      </c>
      <c r="P11" s="14">
        <f t="shared" si="2"/>
        <v>0</v>
      </c>
      <c r="Q11" s="115">
        <f t="shared" si="3"/>
        <v>7.5999999999999998E-2</v>
      </c>
      <c r="R11" s="4">
        <f t="shared" si="4"/>
        <v>9.1489361702127653E-2</v>
      </c>
      <c r="S11" s="14"/>
      <c r="T11" s="21"/>
      <c r="U11" s="6"/>
    </row>
    <row r="12" spans="1:21" x14ac:dyDescent="0.3">
      <c r="A12" s="71"/>
      <c r="B12" s="11">
        <v>1000</v>
      </c>
      <c r="C12" s="1">
        <v>1000</v>
      </c>
      <c r="D12" s="40"/>
      <c r="E12" s="11">
        <v>1075</v>
      </c>
      <c r="F12" s="6">
        <v>1075</v>
      </c>
      <c r="G12" s="1">
        <v>1075</v>
      </c>
      <c r="H12" s="1">
        <v>997</v>
      </c>
      <c r="I12" s="1">
        <v>1002</v>
      </c>
      <c r="J12" s="1">
        <v>987</v>
      </c>
      <c r="K12" s="39"/>
      <c r="L12" s="91"/>
      <c r="M12" s="91"/>
      <c r="N12" s="11">
        <f t="shared" si="0"/>
        <v>1075</v>
      </c>
      <c r="O12" s="1">
        <f t="shared" si="1"/>
        <v>995.33333333333337</v>
      </c>
      <c r="P12" s="14">
        <f t="shared" si="2"/>
        <v>0</v>
      </c>
      <c r="Q12" s="115">
        <f t="shared" si="3"/>
        <v>7.4999999999999997E-2</v>
      </c>
      <c r="R12" s="4">
        <f t="shared" si="4"/>
        <v>4.6666666666666289E-3</v>
      </c>
      <c r="S12" s="14"/>
      <c r="T12" s="25"/>
      <c r="U12" s="6"/>
    </row>
    <row r="13" spans="1:21" x14ac:dyDescent="0.3">
      <c r="A13" s="71"/>
      <c r="B13" s="11">
        <v>10000</v>
      </c>
      <c r="C13" s="1">
        <v>100</v>
      </c>
      <c r="D13" s="40"/>
      <c r="E13" s="11">
        <v>9914</v>
      </c>
      <c r="F13" s="6">
        <v>9917</v>
      </c>
      <c r="G13" s="1">
        <v>9902</v>
      </c>
      <c r="H13" s="1">
        <v>106</v>
      </c>
      <c r="I13" s="1">
        <v>104</v>
      </c>
      <c r="J13" s="1">
        <v>105</v>
      </c>
      <c r="K13" s="39"/>
      <c r="L13" s="91"/>
      <c r="M13" s="91"/>
      <c r="N13" s="11">
        <f t="shared" si="0"/>
        <v>9911</v>
      </c>
      <c r="O13" s="1">
        <f t="shared" si="1"/>
        <v>105</v>
      </c>
      <c r="P13" s="14">
        <f t="shared" si="2"/>
        <v>0</v>
      </c>
      <c r="Q13" s="115">
        <f t="shared" si="3"/>
        <v>8.8999999999999999E-3</v>
      </c>
      <c r="R13" s="4">
        <f>(ABS(O13-C13))/C13</f>
        <v>0.05</v>
      </c>
      <c r="S13" s="14"/>
      <c r="T13" s="21"/>
      <c r="U13" s="6"/>
    </row>
    <row r="14" spans="1:21" x14ac:dyDescent="0.3">
      <c r="A14" s="71"/>
      <c r="B14" s="11">
        <v>10000</v>
      </c>
      <c r="C14" s="1">
        <v>220</v>
      </c>
      <c r="D14" s="40"/>
      <c r="E14" s="11">
        <v>9876</v>
      </c>
      <c r="F14" s="6">
        <v>9904</v>
      </c>
      <c r="G14" s="1">
        <v>9876</v>
      </c>
      <c r="H14" s="1">
        <v>245</v>
      </c>
      <c r="I14" s="1">
        <v>234</v>
      </c>
      <c r="J14" s="1">
        <v>232</v>
      </c>
      <c r="K14" s="39"/>
      <c r="L14" s="91"/>
      <c r="M14" s="91"/>
      <c r="N14" s="11">
        <f t="shared" si="0"/>
        <v>9885.3333333333339</v>
      </c>
      <c r="O14" s="1">
        <f t="shared" si="1"/>
        <v>237</v>
      </c>
      <c r="P14" s="14">
        <f t="shared" si="2"/>
        <v>0</v>
      </c>
      <c r="Q14" s="115">
        <f t="shared" si="3"/>
        <v>1.1466666666666606E-2</v>
      </c>
      <c r="R14" s="4">
        <f t="shared" si="4"/>
        <v>7.7272727272727271E-2</v>
      </c>
      <c r="S14" s="14"/>
      <c r="T14" s="21"/>
      <c r="U14" s="6"/>
    </row>
    <row r="15" spans="1:21" x14ac:dyDescent="0.3">
      <c r="A15" s="71"/>
      <c r="B15" s="11">
        <v>10000</v>
      </c>
      <c r="C15" s="1">
        <v>470</v>
      </c>
      <c r="D15" s="40"/>
      <c r="E15" s="11">
        <v>9899</v>
      </c>
      <c r="F15" s="6">
        <v>9904</v>
      </c>
      <c r="G15" s="1">
        <v>9901</v>
      </c>
      <c r="H15" s="1">
        <v>535</v>
      </c>
      <c r="I15" s="1">
        <v>538</v>
      </c>
      <c r="J15" s="1">
        <v>533</v>
      </c>
      <c r="K15" s="39"/>
      <c r="L15" s="91"/>
      <c r="M15" s="91"/>
      <c r="N15" s="11">
        <f t="shared" si="0"/>
        <v>9901.3333333333339</v>
      </c>
      <c r="O15" s="1">
        <f t="shared" si="1"/>
        <v>535.33333333333337</v>
      </c>
      <c r="P15" s="14">
        <f t="shared" si="2"/>
        <v>0</v>
      </c>
      <c r="Q15" s="115">
        <f t="shared" si="3"/>
        <v>9.8666666666666052E-3</v>
      </c>
      <c r="R15" s="4">
        <f t="shared" si="4"/>
        <v>0.13900709219858165</v>
      </c>
      <c r="S15" s="14"/>
      <c r="T15" s="21"/>
      <c r="U15" s="6"/>
    </row>
    <row r="16" spans="1:21" ht="14.5" thickBot="1" x14ac:dyDescent="0.35">
      <c r="A16" s="125"/>
      <c r="B16" s="36">
        <v>10000</v>
      </c>
      <c r="C16" s="37">
        <v>1000</v>
      </c>
      <c r="D16" s="126"/>
      <c r="E16" s="36">
        <v>9926</v>
      </c>
      <c r="F16" s="27">
        <v>9871</v>
      </c>
      <c r="G16" s="37">
        <v>9934</v>
      </c>
      <c r="H16" s="37">
        <v>1009</v>
      </c>
      <c r="I16" s="37">
        <v>959</v>
      </c>
      <c r="J16" s="37">
        <v>1040</v>
      </c>
      <c r="K16" s="127"/>
      <c r="L16" s="128"/>
      <c r="M16" s="128"/>
      <c r="N16" s="36">
        <f t="shared" si="0"/>
        <v>9910.3333333333339</v>
      </c>
      <c r="O16" s="37">
        <f t="shared" si="1"/>
        <v>1002.6666666666666</v>
      </c>
      <c r="P16" s="38">
        <f t="shared" si="2"/>
        <v>0</v>
      </c>
      <c r="Q16" s="129">
        <f t="shared" si="3"/>
        <v>8.9666666666666055E-3</v>
      </c>
      <c r="R16" s="130">
        <f t="shared" si="4"/>
        <v>2.6666666666666288E-3</v>
      </c>
      <c r="S16" s="38"/>
      <c r="T16" s="24"/>
      <c r="U16" s="6"/>
    </row>
    <row r="17" spans="1:21" x14ac:dyDescent="0.3">
      <c r="A17" s="70" t="s">
        <v>15</v>
      </c>
      <c r="B17" s="9">
        <v>1000</v>
      </c>
      <c r="C17" s="10">
        <v>100</v>
      </c>
      <c r="D17" s="13"/>
      <c r="E17" s="9">
        <v>986</v>
      </c>
      <c r="F17" s="86">
        <v>986</v>
      </c>
      <c r="G17" s="10">
        <v>987</v>
      </c>
      <c r="H17" s="10">
        <v>101</v>
      </c>
      <c r="I17" s="10">
        <v>101</v>
      </c>
      <c r="J17" s="10">
        <v>102</v>
      </c>
      <c r="K17" s="10"/>
      <c r="L17" s="93"/>
      <c r="M17" s="93"/>
      <c r="N17" s="9">
        <f t="shared" si="0"/>
        <v>986.33333333333337</v>
      </c>
      <c r="O17" s="10">
        <f t="shared" si="1"/>
        <v>101.33333333333333</v>
      </c>
      <c r="P17" s="13">
        <f t="shared" si="2"/>
        <v>0</v>
      </c>
      <c r="Q17" s="114">
        <f t="shared" si="3"/>
        <v>1.3666666666666629E-2</v>
      </c>
      <c r="R17" s="7">
        <f t="shared" si="4"/>
        <v>1.3333333333333286E-2</v>
      </c>
      <c r="S17" s="13"/>
      <c r="T17" s="23"/>
      <c r="U17" s="6"/>
    </row>
    <row r="18" spans="1:21" x14ac:dyDescent="0.3">
      <c r="A18" s="71"/>
      <c r="B18" s="11">
        <v>1000</v>
      </c>
      <c r="C18" s="1">
        <v>220</v>
      </c>
      <c r="D18" s="14"/>
      <c r="E18" s="11">
        <v>987</v>
      </c>
      <c r="F18" s="6">
        <v>986</v>
      </c>
      <c r="G18" s="1">
        <v>986</v>
      </c>
      <c r="H18" s="1">
        <v>223</v>
      </c>
      <c r="I18" s="1">
        <v>224</v>
      </c>
      <c r="J18" s="1">
        <v>223</v>
      </c>
      <c r="L18" s="94"/>
      <c r="M18" s="94"/>
      <c r="N18" s="11">
        <f t="shared" si="0"/>
        <v>986.33333333333337</v>
      </c>
      <c r="O18" s="1">
        <f t="shared" si="1"/>
        <v>223.33333333333334</v>
      </c>
      <c r="P18" s="14">
        <f t="shared" si="2"/>
        <v>0</v>
      </c>
      <c r="Q18" s="115">
        <f t="shared" si="3"/>
        <v>1.3666666666666629E-2</v>
      </c>
      <c r="R18" s="4">
        <f t="shared" si="4"/>
        <v>1.5151515151515195E-2</v>
      </c>
      <c r="S18" s="14"/>
      <c r="T18" s="21"/>
      <c r="U18" s="6"/>
    </row>
    <row r="19" spans="1:21" x14ac:dyDescent="0.3">
      <c r="A19" s="71"/>
      <c r="B19" s="11">
        <v>1000</v>
      </c>
      <c r="C19" s="1">
        <v>470</v>
      </c>
      <c r="D19" s="14"/>
      <c r="E19" s="11">
        <v>986</v>
      </c>
      <c r="F19" s="6">
        <v>987</v>
      </c>
      <c r="G19" s="1">
        <v>987</v>
      </c>
      <c r="H19" s="1">
        <v>505</v>
      </c>
      <c r="I19" s="1">
        <v>505</v>
      </c>
      <c r="J19" s="1">
        <v>506</v>
      </c>
      <c r="L19" s="94"/>
      <c r="M19" s="94"/>
      <c r="N19" s="11">
        <f t="shared" si="0"/>
        <v>986.66666666666663</v>
      </c>
      <c r="O19" s="1">
        <f t="shared" si="1"/>
        <v>505.33333333333331</v>
      </c>
      <c r="P19" s="14">
        <f t="shared" si="2"/>
        <v>0</v>
      </c>
      <c r="Q19" s="115">
        <f t="shared" si="3"/>
        <v>1.3333333333333371E-2</v>
      </c>
      <c r="R19" s="4">
        <f t="shared" si="4"/>
        <v>7.5177304964538963E-2</v>
      </c>
      <c r="S19" s="14"/>
      <c r="T19" s="21"/>
      <c r="U19" s="6"/>
    </row>
    <row r="20" spans="1:21" x14ac:dyDescent="0.3">
      <c r="A20" s="71"/>
      <c r="B20" s="11">
        <v>1000</v>
      </c>
      <c r="C20" s="1">
        <v>1000</v>
      </c>
      <c r="D20" s="14"/>
      <c r="E20" s="11">
        <v>986</v>
      </c>
      <c r="F20" s="6">
        <v>986</v>
      </c>
      <c r="G20" s="1">
        <v>987</v>
      </c>
      <c r="H20" s="1">
        <v>982</v>
      </c>
      <c r="I20" s="1">
        <v>979</v>
      </c>
      <c r="J20" s="1">
        <v>985</v>
      </c>
      <c r="L20" s="94"/>
      <c r="M20" s="94"/>
      <c r="N20" s="11">
        <f t="shared" si="0"/>
        <v>986.33333333333337</v>
      </c>
      <c r="O20" s="1">
        <f t="shared" si="1"/>
        <v>982</v>
      </c>
      <c r="P20" s="14">
        <f t="shared" si="2"/>
        <v>0</v>
      </c>
      <c r="Q20" s="115">
        <f t="shared" si="3"/>
        <v>1.3666666666666629E-2</v>
      </c>
      <c r="R20" s="4">
        <f t="shared" si="4"/>
        <v>1.7999999999999999E-2</v>
      </c>
      <c r="S20" s="14"/>
      <c r="T20" s="21"/>
      <c r="U20" s="6"/>
    </row>
    <row r="21" spans="1:21" x14ac:dyDescent="0.3">
      <c r="A21" s="71"/>
      <c r="B21" s="11">
        <v>10000</v>
      </c>
      <c r="C21" s="1">
        <v>100</v>
      </c>
      <c r="D21" s="14"/>
      <c r="E21" s="11">
        <v>9644</v>
      </c>
      <c r="F21" s="6">
        <v>9660</v>
      </c>
      <c r="G21" s="1">
        <v>9643</v>
      </c>
      <c r="H21" s="1">
        <v>96</v>
      </c>
      <c r="I21" s="1">
        <v>96</v>
      </c>
      <c r="J21" s="1">
        <v>96</v>
      </c>
      <c r="L21" s="94"/>
      <c r="M21" s="94"/>
      <c r="N21" s="11">
        <f t="shared" si="0"/>
        <v>9649</v>
      </c>
      <c r="O21" s="1">
        <f t="shared" si="1"/>
        <v>96</v>
      </c>
      <c r="P21" s="14">
        <f t="shared" si="2"/>
        <v>0</v>
      </c>
      <c r="Q21" s="115">
        <f>(ABS(N21-B21))/B21</f>
        <v>3.5099999999999999E-2</v>
      </c>
      <c r="R21" s="4">
        <f t="shared" si="4"/>
        <v>0.04</v>
      </c>
      <c r="S21" s="14"/>
      <c r="T21" s="21"/>
      <c r="U21" s="6"/>
    </row>
    <row r="22" spans="1:21" x14ac:dyDescent="0.3">
      <c r="A22" s="71"/>
      <c r="B22" s="11">
        <v>10000</v>
      </c>
      <c r="C22" s="1">
        <v>220</v>
      </c>
      <c r="D22" s="14"/>
      <c r="E22" s="11">
        <v>9657</v>
      </c>
      <c r="F22" s="6">
        <v>9639</v>
      </c>
      <c r="G22" s="1">
        <v>9642</v>
      </c>
      <c r="H22" s="1">
        <v>207</v>
      </c>
      <c r="I22" s="1">
        <v>207</v>
      </c>
      <c r="J22" s="1">
        <v>207</v>
      </c>
      <c r="L22" s="94"/>
      <c r="M22" s="94"/>
      <c r="N22" s="11">
        <f t="shared" si="0"/>
        <v>9646</v>
      </c>
      <c r="O22" s="1">
        <f t="shared" si="1"/>
        <v>207</v>
      </c>
      <c r="P22" s="14">
        <f t="shared" si="2"/>
        <v>0</v>
      </c>
      <c r="Q22" s="115">
        <f t="shared" si="3"/>
        <v>3.5400000000000001E-2</v>
      </c>
      <c r="R22" s="4">
        <f t="shared" si="4"/>
        <v>5.909090909090909E-2</v>
      </c>
      <c r="S22" s="14"/>
      <c r="T22" s="21"/>
      <c r="U22" s="6"/>
    </row>
    <row r="23" spans="1:21" x14ac:dyDescent="0.3">
      <c r="A23" s="71"/>
      <c r="B23" s="11">
        <v>10000</v>
      </c>
      <c r="C23" s="1">
        <v>470</v>
      </c>
      <c r="D23" s="14"/>
      <c r="E23" s="11">
        <v>9649</v>
      </c>
      <c r="F23" s="6">
        <v>9642</v>
      </c>
      <c r="G23" s="1">
        <v>9653</v>
      </c>
      <c r="H23" s="1">
        <v>455</v>
      </c>
      <c r="I23" s="1">
        <v>456</v>
      </c>
      <c r="J23" s="1">
        <v>454</v>
      </c>
      <c r="L23" s="94"/>
      <c r="M23" s="94"/>
      <c r="N23" s="11">
        <f t="shared" si="0"/>
        <v>9648</v>
      </c>
      <c r="O23" s="1">
        <f t="shared" si="1"/>
        <v>455</v>
      </c>
      <c r="P23" s="14">
        <f t="shared" si="2"/>
        <v>0</v>
      </c>
      <c r="Q23" s="115">
        <f>(ABS(N23-B23))/B23</f>
        <v>3.5200000000000002E-2</v>
      </c>
      <c r="R23" s="4">
        <f t="shared" si="4"/>
        <v>3.1914893617021274E-2</v>
      </c>
      <c r="S23" s="14"/>
      <c r="T23" s="21"/>
      <c r="U23" s="6"/>
    </row>
    <row r="24" spans="1:21" ht="14.5" thickBot="1" x14ac:dyDescent="0.35">
      <c r="A24" s="72"/>
      <c r="B24" s="12">
        <v>10000</v>
      </c>
      <c r="C24" s="3">
        <v>1000</v>
      </c>
      <c r="D24" s="15"/>
      <c r="E24" s="12">
        <v>9637</v>
      </c>
      <c r="F24" s="87">
        <v>9636</v>
      </c>
      <c r="G24" s="3">
        <v>9640</v>
      </c>
      <c r="H24" s="3">
        <v>888</v>
      </c>
      <c r="I24" s="3">
        <v>899</v>
      </c>
      <c r="J24" s="3">
        <v>884</v>
      </c>
      <c r="K24" s="3"/>
      <c r="L24" s="95"/>
      <c r="M24" s="95"/>
      <c r="N24" s="12">
        <f t="shared" si="0"/>
        <v>9637.6666666666661</v>
      </c>
      <c r="O24" s="3">
        <f t="shared" si="1"/>
        <v>890.33333333333337</v>
      </c>
      <c r="P24" s="15">
        <f t="shared" si="2"/>
        <v>0</v>
      </c>
      <c r="Q24" s="116">
        <f t="shared" si="3"/>
        <v>3.6233333333333395E-2</v>
      </c>
      <c r="R24" s="8">
        <f t="shared" si="4"/>
        <v>0.10966666666666663</v>
      </c>
      <c r="S24" s="15"/>
      <c r="T24" s="21"/>
      <c r="U24" s="6"/>
    </row>
    <row r="25" spans="1:21" x14ac:dyDescent="0.3">
      <c r="A25" s="117" t="s">
        <v>16</v>
      </c>
      <c r="B25" s="118">
        <v>12.9</v>
      </c>
      <c r="C25" s="5"/>
      <c r="D25" s="123">
        <v>1</v>
      </c>
      <c r="E25" s="118">
        <v>12.9</v>
      </c>
      <c r="F25" s="121">
        <v>12.9</v>
      </c>
      <c r="G25" s="5">
        <v>12.9</v>
      </c>
      <c r="H25" s="5"/>
      <c r="I25" s="5"/>
      <c r="J25" s="5"/>
      <c r="K25" s="5">
        <v>1.03</v>
      </c>
      <c r="L25" s="131">
        <v>1.03</v>
      </c>
      <c r="M25" s="131">
        <v>1.03</v>
      </c>
      <c r="N25" s="118">
        <f t="shared" si="0"/>
        <v>12.9</v>
      </c>
      <c r="O25" s="5">
        <f t="shared" si="1"/>
        <v>0</v>
      </c>
      <c r="P25" s="123">
        <f t="shared" si="2"/>
        <v>1.03</v>
      </c>
      <c r="Q25" s="124">
        <f>(ABS(N25-B25))/B25</f>
        <v>0</v>
      </c>
      <c r="R25" s="2"/>
      <c r="S25" s="132">
        <f>(ABS(P25-D25))/D25</f>
        <v>3.0000000000000027E-2</v>
      </c>
      <c r="T25" s="23"/>
      <c r="U25" s="6"/>
    </row>
    <row r="26" spans="1:21" x14ac:dyDescent="0.3">
      <c r="A26" s="71"/>
      <c r="B26" s="11">
        <v>19</v>
      </c>
      <c r="D26" s="14">
        <v>3.3</v>
      </c>
      <c r="E26" s="11">
        <v>19.86</v>
      </c>
      <c r="F26" s="6">
        <v>19.87</v>
      </c>
      <c r="G26" s="1">
        <v>19.850000000000001</v>
      </c>
      <c r="K26" s="1">
        <v>3.28</v>
      </c>
      <c r="L26" s="94">
        <v>3.29</v>
      </c>
      <c r="M26" s="94">
        <v>3.29</v>
      </c>
      <c r="N26" s="11">
        <f t="shared" si="0"/>
        <v>19.860000000000003</v>
      </c>
      <c r="O26" s="1">
        <f t="shared" si="1"/>
        <v>0</v>
      </c>
      <c r="P26" s="14">
        <f t="shared" si="2"/>
        <v>3.2866666666666666</v>
      </c>
      <c r="Q26" s="115">
        <f t="shared" si="3"/>
        <v>4.5263157894736998E-2</v>
      </c>
      <c r="R26" s="4"/>
      <c r="S26" s="18">
        <f t="shared" ref="S26:S40" si="5">(ABS(P26-D26))/D26</f>
        <v>4.0404040404039996E-3</v>
      </c>
      <c r="T26" s="21"/>
      <c r="U26" s="6"/>
    </row>
    <row r="27" spans="1:21" x14ac:dyDescent="0.3">
      <c r="A27" s="71"/>
      <c r="B27" s="11">
        <v>29.5</v>
      </c>
      <c r="D27" s="14">
        <v>6.8</v>
      </c>
      <c r="E27" s="11">
        <v>30.45</v>
      </c>
      <c r="F27" s="6">
        <v>30.5</v>
      </c>
      <c r="G27" s="1">
        <v>30.52</v>
      </c>
      <c r="K27" s="1">
        <v>6.99</v>
      </c>
      <c r="L27" s="94">
        <v>6.98</v>
      </c>
      <c r="M27" s="94">
        <v>7</v>
      </c>
      <c r="N27" s="11">
        <f t="shared" si="0"/>
        <v>30.49</v>
      </c>
      <c r="O27" s="1">
        <f t="shared" si="1"/>
        <v>0</v>
      </c>
      <c r="P27" s="14">
        <f t="shared" si="2"/>
        <v>6.9899999999999993</v>
      </c>
      <c r="Q27" s="115">
        <f t="shared" si="3"/>
        <v>3.3559322033898255E-2</v>
      </c>
      <c r="R27" s="4"/>
      <c r="S27" s="18">
        <f t="shared" si="5"/>
        <v>2.7941176470588164E-2</v>
      </c>
      <c r="T27" s="21"/>
      <c r="U27" s="6"/>
    </row>
    <row r="28" spans="1:21" x14ac:dyDescent="0.3">
      <c r="A28" s="71"/>
      <c r="B28" s="11">
        <v>39</v>
      </c>
      <c r="D28" s="14">
        <v>10</v>
      </c>
      <c r="E28" s="11">
        <v>38.840000000000003</v>
      </c>
      <c r="F28" s="6">
        <v>38.909999999999997</v>
      </c>
      <c r="G28" s="1">
        <v>38.979999999999997</v>
      </c>
      <c r="K28" s="1">
        <v>10.65</v>
      </c>
      <c r="L28" s="94">
        <v>10.62</v>
      </c>
      <c r="M28" s="94">
        <v>10.69</v>
      </c>
      <c r="N28" s="11">
        <f t="shared" si="0"/>
        <v>38.909999999999997</v>
      </c>
      <c r="O28" s="1">
        <f t="shared" si="1"/>
        <v>0</v>
      </c>
      <c r="P28" s="14">
        <f t="shared" si="2"/>
        <v>10.653333333333334</v>
      </c>
      <c r="Q28" s="115">
        <f t="shared" si="3"/>
        <v>2.3076923076923951E-3</v>
      </c>
      <c r="R28" s="4"/>
      <c r="S28" s="18">
        <f t="shared" si="5"/>
        <v>6.5333333333333424E-2</v>
      </c>
      <c r="T28" s="21"/>
      <c r="U28" s="6"/>
    </row>
    <row r="29" spans="1:21" x14ac:dyDescent="0.3">
      <c r="A29" s="71"/>
      <c r="B29" s="11">
        <v>102.3</v>
      </c>
      <c r="D29" s="14">
        <v>1</v>
      </c>
      <c r="E29" s="11">
        <v>102.44</v>
      </c>
      <c r="F29" s="6">
        <v>102.44</v>
      </c>
      <c r="G29" s="1">
        <v>102.46</v>
      </c>
      <c r="K29" s="1">
        <v>1</v>
      </c>
      <c r="L29" s="94">
        <v>1</v>
      </c>
      <c r="M29" s="94">
        <v>1</v>
      </c>
      <c r="N29" s="11">
        <f t="shared" si="0"/>
        <v>102.44666666666666</v>
      </c>
      <c r="O29" s="1">
        <f t="shared" si="1"/>
        <v>0</v>
      </c>
      <c r="P29" s="14">
        <f t="shared" si="2"/>
        <v>1</v>
      </c>
      <c r="Q29" s="115">
        <f t="shared" si="3"/>
        <v>1.4336917562723477E-3</v>
      </c>
      <c r="R29" s="4"/>
      <c r="S29" s="18">
        <f t="shared" si="5"/>
        <v>0</v>
      </c>
      <c r="T29" s="21"/>
      <c r="U29" s="6"/>
    </row>
    <row r="30" spans="1:21" x14ac:dyDescent="0.3">
      <c r="A30" s="71"/>
      <c r="B30" s="11">
        <v>109</v>
      </c>
      <c r="D30" s="14">
        <v>3.3</v>
      </c>
      <c r="E30" s="11">
        <v>108.81</v>
      </c>
      <c r="F30" s="6">
        <v>109.11</v>
      </c>
      <c r="G30" s="1">
        <v>108.99</v>
      </c>
      <c r="K30" s="1">
        <v>3.24</v>
      </c>
      <c r="L30" s="94">
        <v>3.23</v>
      </c>
      <c r="M30" s="94">
        <v>3.23</v>
      </c>
      <c r="N30" s="11">
        <f t="shared" si="0"/>
        <v>108.97000000000001</v>
      </c>
      <c r="O30" s="1">
        <f t="shared" si="1"/>
        <v>0</v>
      </c>
      <c r="P30" s="14">
        <f t="shared" si="2"/>
        <v>3.2333333333333338</v>
      </c>
      <c r="Q30" s="115">
        <f t="shared" si="3"/>
        <v>2.752293577980452E-4</v>
      </c>
      <c r="R30" s="4"/>
      <c r="S30" s="18">
        <f t="shared" si="5"/>
        <v>2.0202020202019996E-2</v>
      </c>
      <c r="T30" s="21"/>
      <c r="U30" s="6"/>
    </row>
    <row r="31" spans="1:21" x14ac:dyDescent="0.3">
      <c r="A31" s="71"/>
      <c r="B31" s="11">
        <v>119.5</v>
      </c>
      <c r="D31" s="14">
        <v>6.8</v>
      </c>
      <c r="E31" s="11">
        <v>120.06</v>
      </c>
      <c r="F31" s="6">
        <v>119.65</v>
      </c>
      <c r="G31" s="1">
        <v>119.91</v>
      </c>
      <c r="K31" s="1">
        <v>6.87</v>
      </c>
      <c r="L31" s="94">
        <v>6.84</v>
      </c>
      <c r="M31" s="94">
        <v>6.84</v>
      </c>
      <c r="N31" s="11">
        <f t="shared" si="0"/>
        <v>119.87333333333333</v>
      </c>
      <c r="O31" s="1">
        <f t="shared" si="1"/>
        <v>0</v>
      </c>
      <c r="P31" s="14">
        <f t="shared" si="2"/>
        <v>6.8500000000000005</v>
      </c>
      <c r="Q31" s="115">
        <f t="shared" si="3"/>
        <v>3.1241283124128437E-3</v>
      </c>
      <c r="R31" s="4"/>
      <c r="S31" s="18">
        <f t="shared" si="5"/>
        <v>7.3529411764706931E-3</v>
      </c>
      <c r="T31" s="21"/>
      <c r="U31" s="6"/>
    </row>
    <row r="32" spans="1:21" ht="14.5" thickBot="1" x14ac:dyDescent="0.35">
      <c r="A32" s="125"/>
      <c r="B32" s="36">
        <v>129</v>
      </c>
      <c r="C32" s="37"/>
      <c r="D32" s="38">
        <v>10</v>
      </c>
      <c r="E32" s="36">
        <v>128.69999999999999</v>
      </c>
      <c r="F32" s="27">
        <v>128.59</v>
      </c>
      <c r="G32" s="37">
        <v>128.52000000000001</v>
      </c>
      <c r="H32" s="37"/>
      <c r="I32" s="37"/>
      <c r="J32" s="37"/>
      <c r="K32" s="37">
        <v>10.24</v>
      </c>
      <c r="L32" s="90">
        <v>10.25</v>
      </c>
      <c r="M32" s="90">
        <v>10.199999999999999</v>
      </c>
      <c r="N32" s="36">
        <f t="shared" si="0"/>
        <v>128.60333333333332</v>
      </c>
      <c r="O32" s="37">
        <f t="shared" si="1"/>
        <v>0</v>
      </c>
      <c r="P32" s="38">
        <f t="shared" si="2"/>
        <v>10.229999999999999</v>
      </c>
      <c r="Q32" s="129">
        <f t="shared" si="3"/>
        <v>3.0749354005168636E-3</v>
      </c>
      <c r="R32" s="130"/>
      <c r="S32" s="133">
        <f t="shared" si="5"/>
        <v>2.2999999999999864E-2</v>
      </c>
      <c r="T32" s="24"/>
      <c r="U32" s="27"/>
    </row>
    <row r="33" spans="1:22" x14ac:dyDescent="0.3">
      <c r="A33" s="70" t="s">
        <v>17</v>
      </c>
      <c r="B33" s="9">
        <v>10</v>
      </c>
      <c r="C33" s="10"/>
      <c r="D33" s="13">
        <v>1</v>
      </c>
      <c r="E33" s="9">
        <v>10.32</v>
      </c>
      <c r="F33" s="86">
        <v>10.26</v>
      </c>
      <c r="G33" s="10">
        <v>10.28</v>
      </c>
      <c r="H33" s="10"/>
      <c r="I33" s="10"/>
      <c r="J33" s="10"/>
      <c r="K33" s="10">
        <v>1.02</v>
      </c>
      <c r="L33" s="93">
        <v>1.02</v>
      </c>
      <c r="M33" s="93">
        <v>1.04</v>
      </c>
      <c r="N33" s="9">
        <f t="shared" si="0"/>
        <v>10.286666666666667</v>
      </c>
      <c r="O33" s="10">
        <f t="shared" si="1"/>
        <v>0</v>
      </c>
      <c r="P33" s="13">
        <f t="shared" si="2"/>
        <v>1.0266666666666666</v>
      </c>
      <c r="Q33" s="114">
        <f>(ABS(N33-B33))/B33</f>
        <v>2.8666666666666708E-2</v>
      </c>
      <c r="R33" s="7"/>
      <c r="S33" s="16">
        <f t="shared" si="5"/>
        <v>2.6666666666666616E-2</v>
      </c>
      <c r="T33" s="23"/>
      <c r="U33" s="23">
        <f>B33*C33/(B33+C33)</f>
        <v>0</v>
      </c>
      <c r="V33" s="6"/>
    </row>
    <row r="34" spans="1:22" x14ac:dyDescent="0.3">
      <c r="A34" s="71"/>
      <c r="B34" s="11">
        <v>10</v>
      </c>
      <c r="D34" s="14">
        <v>3.3</v>
      </c>
      <c r="E34" s="11">
        <v>10.26</v>
      </c>
      <c r="F34" s="6">
        <v>10.26</v>
      </c>
      <c r="G34" s="1">
        <v>10.26</v>
      </c>
      <c r="K34" s="1">
        <v>3.28</v>
      </c>
      <c r="L34" s="94">
        <v>3.14</v>
      </c>
      <c r="M34" s="94">
        <v>3.11</v>
      </c>
      <c r="N34" s="11">
        <f t="shared" si="0"/>
        <v>10.26</v>
      </c>
      <c r="O34" s="1">
        <f t="shared" si="1"/>
        <v>0</v>
      </c>
      <c r="P34" s="14">
        <f t="shared" si="2"/>
        <v>3.1766666666666663</v>
      </c>
      <c r="Q34" s="115">
        <f t="shared" si="3"/>
        <v>2.5999999999999978E-2</v>
      </c>
      <c r="R34" s="4"/>
      <c r="S34" s="18">
        <f t="shared" si="5"/>
        <v>3.7373737373737434E-2</v>
      </c>
      <c r="T34" s="21"/>
      <c r="U34" s="21">
        <f t="shared" ref="U34:U40" si="6">B34*C34/(B34+C34)</f>
        <v>0</v>
      </c>
      <c r="V34" s="6"/>
    </row>
    <row r="35" spans="1:22" x14ac:dyDescent="0.3">
      <c r="A35" s="71"/>
      <c r="B35" s="11">
        <v>10</v>
      </c>
      <c r="D35" s="14">
        <v>6.8</v>
      </c>
      <c r="E35" s="11">
        <v>10.130000000000001</v>
      </c>
      <c r="F35" s="6">
        <v>10.28</v>
      </c>
      <c r="G35" s="1">
        <v>10.29</v>
      </c>
      <c r="K35" s="1">
        <v>6.13</v>
      </c>
      <c r="L35" s="94">
        <v>6.71</v>
      </c>
      <c r="M35" s="94">
        <v>6.22</v>
      </c>
      <c r="N35" s="11">
        <f t="shared" si="0"/>
        <v>10.233333333333333</v>
      </c>
      <c r="O35" s="1">
        <f t="shared" si="1"/>
        <v>0</v>
      </c>
      <c r="P35" s="14">
        <f t="shared" si="2"/>
        <v>6.3533333333333326</v>
      </c>
      <c r="Q35" s="115">
        <f t="shared" si="3"/>
        <v>2.3333333333333251E-2</v>
      </c>
      <c r="R35" s="4"/>
      <c r="S35" s="18">
        <f t="shared" si="5"/>
        <v>6.5686274509804007E-2</v>
      </c>
      <c r="T35" s="21"/>
      <c r="U35" s="21">
        <f t="shared" si="6"/>
        <v>0</v>
      </c>
      <c r="V35" s="6"/>
    </row>
    <row r="36" spans="1:22" x14ac:dyDescent="0.3">
      <c r="A36" s="71"/>
      <c r="B36" s="11">
        <v>10</v>
      </c>
      <c r="D36" s="14">
        <v>10</v>
      </c>
      <c r="E36" s="11">
        <v>10.3</v>
      </c>
      <c r="F36" s="6">
        <v>10.28</v>
      </c>
      <c r="G36" s="1">
        <v>10.29</v>
      </c>
      <c r="K36" s="1">
        <v>8.7200000000000006</v>
      </c>
      <c r="L36" s="94">
        <v>8.58</v>
      </c>
      <c r="M36" s="94">
        <v>8.92</v>
      </c>
      <c r="N36" s="11">
        <f t="shared" si="0"/>
        <v>10.29</v>
      </c>
      <c r="O36" s="1">
        <f t="shared" si="1"/>
        <v>0</v>
      </c>
      <c r="P36" s="14">
        <f t="shared" si="2"/>
        <v>8.74</v>
      </c>
      <c r="Q36" s="115">
        <f t="shared" si="3"/>
        <v>2.8999999999999915E-2</v>
      </c>
      <c r="R36" s="4"/>
      <c r="S36" s="18">
        <f t="shared" si="5"/>
        <v>0.12599999999999997</v>
      </c>
      <c r="T36" s="21"/>
      <c r="U36" s="21">
        <f t="shared" si="6"/>
        <v>0</v>
      </c>
      <c r="V36" s="6"/>
    </row>
    <row r="37" spans="1:22" x14ac:dyDescent="0.3">
      <c r="A37" s="71"/>
      <c r="B37" s="11">
        <v>100</v>
      </c>
      <c r="D37" s="14">
        <v>1</v>
      </c>
      <c r="E37" s="11">
        <v>95.77</v>
      </c>
      <c r="F37" s="6">
        <v>95.81</v>
      </c>
      <c r="G37" s="1">
        <v>95.61</v>
      </c>
      <c r="K37" s="1">
        <v>1.03</v>
      </c>
      <c r="L37" s="94">
        <v>1.03</v>
      </c>
      <c r="M37" s="94">
        <v>1.03</v>
      </c>
      <c r="N37" s="11">
        <f t="shared" si="0"/>
        <v>95.73</v>
      </c>
      <c r="O37" s="1">
        <f t="shared" si="1"/>
        <v>0</v>
      </c>
      <c r="P37" s="14">
        <f t="shared" si="2"/>
        <v>1.03</v>
      </c>
      <c r="Q37" s="115">
        <f t="shared" si="3"/>
        <v>4.269999999999996E-2</v>
      </c>
      <c r="R37" s="4"/>
      <c r="S37" s="18">
        <f t="shared" si="5"/>
        <v>3.0000000000000027E-2</v>
      </c>
      <c r="T37" s="21"/>
      <c r="U37" s="21">
        <f t="shared" si="6"/>
        <v>0</v>
      </c>
      <c r="V37" s="6"/>
    </row>
    <row r="38" spans="1:22" x14ac:dyDescent="0.3">
      <c r="A38" s="71"/>
      <c r="B38" s="11">
        <v>100</v>
      </c>
      <c r="D38" s="14">
        <v>3.3</v>
      </c>
      <c r="E38" s="11">
        <v>96.11</v>
      </c>
      <c r="F38" s="6">
        <v>96.01</v>
      </c>
      <c r="G38" s="1">
        <v>96.02</v>
      </c>
      <c r="K38" s="1">
        <v>3.28</v>
      </c>
      <c r="L38" s="94">
        <v>3.27</v>
      </c>
      <c r="M38" s="94">
        <v>3.27</v>
      </c>
      <c r="N38" s="11">
        <f t="shared" si="0"/>
        <v>96.046666666666667</v>
      </c>
      <c r="O38" s="1">
        <f t="shared" si="1"/>
        <v>0</v>
      </c>
      <c r="P38" s="14">
        <f t="shared" si="2"/>
        <v>3.2733333333333334</v>
      </c>
      <c r="Q38" s="115">
        <f t="shared" si="3"/>
        <v>3.953333333333333E-2</v>
      </c>
      <c r="R38" s="4"/>
      <c r="S38" s="18">
        <f t="shared" si="5"/>
        <v>8.0808080808079993E-3</v>
      </c>
      <c r="T38" s="21"/>
      <c r="U38" s="21">
        <f t="shared" si="6"/>
        <v>0</v>
      </c>
      <c r="V38" s="6"/>
    </row>
    <row r="39" spans="1:22" x14ac:dyDescent="0.3">
      <c r="A39" s="71"/>
      <c r="B39" s="11">
        <v>100</v>
      </c>
      <c r="D39" s="14">
        <v>6.8</v>
      </c>
      <c r="E39" s="11">
        <v>96.68</v>
      </c>
      <c r="F39" s="6">
        <v>96.47</v>
      </c>
      <c r="G39" s="1">
        <v>96.98</v>
      </c>
      <c r="K39" s="1">
        <v>6.98</v>
      </c>
      <c r="L39" s="94">
        <v>6.99</v>
      </c>
      <c r="M39" s="94">
        <v>6.99</v>
      </c>
      <c r="N39" s="11">
        <f t="shared" si="0"/>
        <v>96.71</v>
      </c>
      <c r="O39" s="1">
        <f t="shared" si="1"/>
        <v>0</v>
      </c>
      <c r="P39" s="14">
        <f t="shared" si="2"/>
        <v>6.9866666666666672</v>
      </c>
      <c r="Q39" s="115">
        <f t="shared" si="3"/>
        <v>3.2900000000000061E-2</v>
      </c>
      <c r="R39" s="4"/>
      <c r="S39" s="18">
        <f t="shared" si="5"/>
        <v>2.7450980392156973E-2</v>
      </c>
      <c r="T39" s="21"/>
      <c r="U39" s="21">
        <f t="shared" si="6"/>
        <v>0</v>
      </c>
      <c r="V39" s="6"/>
    </row>
    <row r="40" spans="1:22" ht="14.5" thickBot="1" x14ac:dyDescent="0.35">
      <c r="A40" s="72"/>
      <c r="B40" s="12">
        <v>100</v>
      </c>
      <c r="C40" s="3"/>
      <c r="D40" s="15">
        <v>10</v>
      </c>
      <c r="E40" s="12">
        <v>102.29</v>
      </c>
      <c r="F40" s="87">
        <v>100.84</v>
      </c>
      <c r="G40" s="3">
        <v>99.2</v>
      </c>
      <c r="H40" s="3"/>
      <c r="I40" s="3"/>
      <c r="J40" s="3"/>
      <c r="K40" s="3">
        <v>10.7</v>
      </c>
      <c r="L40" s="95">
        <v>10.45</v>
      </c>
      <c r="M40" s="95">
        <v>10.48</v>
      </c>
      <c r="N40" s="12">
        <f t="shared" si="0"/>
        <v>100.77666666666666</v>
      </c>
      <c r="O40" s="3">
        <f t="shared" si="1"/>
        <v>0</v>
      </c>
      <c r="P40" s="15">
        <f t="shared" si="2"/>
        <v>10.543333333333333</v>
      </c>
      <c r="Q40" s="116">
        <f t="shared" si="3"/>
        <v>7.7666666666665659E-3</v>
      </c>
      <c r="R40" s="8"/>
      <c r="S40" s="19">
        <f t="shared" si="5"/>
        <v>5.4333333333333303E-2</v>
      </c>
      <c r="T40" s="24"/>
      <c r="U40" s="24">
        <f t="shared" si="6"/>
        <v>0</v>
      </c>
      <c r="V40" s="6"/>
    </row>
    <row r="41" spans="1:22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2"/>
      <c r="R41" s="2"/>
      <c r="S41" s="2"/>
      <c r="T41" s="5"/>
      <c r="U41" s="5"/>
    </row>
    <row r="42" spans="1:22" x14ac:dyDescent="0.3">
      <c r="Q42" s="4"/>
      <c r="R42" s="4"/>
      <c r="S42" s="4"/>
    </row>
    <row r="43" spans="1:22" x14ac:dyDescent="0.3">
      <c r="Q43" s="4"/>
      <c r="R43" s="4"/>
      <c r="S43" s="4"/>
    </row>
    <row r="44" spans="1:22" x14ac:dyDescent="0.3">
      <c r="Q44" s="4"/>
      <c r="R44" s="4"/>
      <c r="S44" s="4"/>
    </row>
    <row r="45" spans="1:22" x14ac:dyDescent="0.3">
      <c r="Q45" s="4"/>
      <c r="R45" s="4"/>
      <c r="S45" s="4"/>
    </row>
    <row r="46" spans="1:22" x14ac:dyDescent="0.3">
      <c r="Q46" s="4"/>
      <c r="R46" s="4"/>
      <c r="S46" s="4"/>
    </row>
    <row r="47" spans="1:22" x14ac:dyDescent="0.3">
      <c r="Q47" s="4"/>
      <c r="R47" s="4"/>
      <c r="S47" s="4"/>
    </row>
    <row r="48" spans="1:22" x14ac:dyDescent="0.3">
      <c r="Q48" s="4"/>
      <c r="R48" s="4"/>
      <c r="S48" s="4"/>
    </row>
    <row r="49" spans="17:19" x14ac:dyDescent="0.3">
      <c r="Q49" s="4"/>
      <c r="R49" s="4"/>
      <c r="S49" s="4"/>
    </row>
    <row r="50" spans="17:19" x14ac:dyDescent="0.3">
      <c r="Q50" s="4"/>
      <c r="R50" s="4"/>
      <c r="S50" s="4"/>
    </row>
    <row r="51" spans="17:19" x14ac:dyDescent="0.3">
      <c r="Q51" s="4"/>
      <c r="R51" s="4"/>
      <c r="S51" s="4"/>
    </row>
    <row r="52" spans="17:19" x14ac:dyDescent="0.3">
      <c r="S52" s="4"/>
    </row>
    <row r="53" spans="17:19" x14ac:dyDescent="0.3">
      <c r="S53" s="4"/>
    </row>
  </sheetData>
  <mergeCells count="22">
    <mergeCell ref="H2:J2"/>
    <mergeCell ref="A17:A24"/>
    <mergeCell ref="A25:A32"/>
    <mergeCell ref="A33:A40"/>
    <mergeCell ref="A1:A3"/>
    <mergeCell ref="N2:N3"/>
    <mergeCell ref="A9:A16"/>
    <mergeCell ref="B2:B3"/>
    <mergeCell ref="C2:C3"/>
    <mergeCell ref="D2:D3"/>
    <mergeCell ref="A4:A8"/>
    <mergeCell ref="E2:G2"/>
    <mergeCell ref="K2:M2"/>
    <mergeCell ref="B1:D1"/>
    <mergeCell ref="E1:M1"/>
    <mergeCell ref="N1:P1"/>
    <mergeCell ref="Q1:S1"/>
    <mergeCell ref="O2:O3"/>
    <mergeCell ref="P2:P3"/>
    <mergeCell ref="Q2:Q3"/>
    <mergeCell ref="R2:R3"/>
    <mergeCell ref="S2:S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E108E-3E17-4384-BCD2-935286D243BA}">
  <dimension ref="A1:T56"/>
  <sheetViews>
    <sheetView tabSelected="1" topLeftCell="A10" workbookViewId="0">
      <selection activeCell="J8" sqref="J8"/>
    </sheetView>
  </sheetViews>
  <sheetFormatPr defaultRowHeight="14" x14ac:dyDescent="0.3"/>
  <cols>
    <col min="1" max="1" width="12.9140625" style="28" customWidth="1"/>
    <col min="2" max="2" width="9.25" style="32" customWidth="1"/>
    <col min="3" max="4" width="8.6640625" style="32"/>
    <col min="5" max="6" width="8.6640625" style="26"/>
    <col min="7" max="16384" width="8.6640625" style="32"/>
  </cols>
  <sheetData>
    <row r="1" spans="1:20" x14ac:dyDescent="0.3">
      <c r="A1" s="77"/>
      <c r="B1" s="84" t="s">
        <v>2</v>
      </c>
      <c r="C1" s="65"/>
      <c r="D1" s="88"/>
      <c r="E1" s="70" t="s">
        <v>3</v>
      </c>
      <c r="F1" s="99"/>
      <c r="G1" s="99"/>
      <c r="H1" s="99"/>
      <c r="I1" s="99"/>
      <c r="J1" s="99"/>
      <c r="K1" s="99"/>
      <c r="L1" s="99"/>
      <c r="M1" s="99"/>
      <c r="N1" s="64" t="s">
        <v>9</v>
      </c>
      <c r="O1" s="65"/>
      <c r="P1" s="66"/>
      <c r="Q1" s="64" t="s">
        <v>4</v>
      </c>
      <c r="R1" s="65"/>
      <c r="S1" s="66"/>
      <c r="T1" s="26"/>
    </row>
    <row r="2" spans="1:20" x14ac:dyDescent="0.3">
      <c r="A2" s="78"/>
      <c r="B2" s="76" t="s">
        <v>20</v>
      </c>
      <c r="C2" s="67" t="s">
        <v>13</v>
      </c>
      <c r="D2" s="73" t="s">
        <v>6</v>
      </c>
      <c r="E2" s="71" t="s">
        <v>18</v>
      </c>
      <c r="F2" s="98"/>
      <c r="G2" s="76"/>
      <c r="H2" s="73" t="s">
        <v>10</v>
      </c>
      <c r="I2" s="98"/>
      <c r="J2" s="76"/>
      <c r="K2" s="73" t="s">
        <v>11</v>
      </c>
      <c r="L2" s="98"/>
      <c r="M2" s="98"/>
      <c r="N2" s="69" t="s">
        <v>18</v>
      </c>
      <c r="O2" s="67" t="s">
        <v>10</v>
      </c>
      <c r="P2" s="68" t="s">
        <v>11</v>
      </c>
      <c r="Q2" s="69" t="s">
        <v>0</v>
      </c>
      <c r="R2" s="67" t="s">
        <v>10</v>
      </c>
      <c r="S2" s="68" t="s">
        <v>11</v>
      </c>
      <c r="T2" s="26"/>
    </row>
    <row r="3" spans="1:20" ht="14.5" thickBot="1" x14ac:dyDescent="0.35">
      <c r="A3" s="81"/>
      <c r="B3" s="109"/>
      <c r="C3" s="110"/>
      <c r="D3" s="111"/>
      <c r="E3" s="54" t="s">
        <v>7</v>
      </c>
      <c r="F3" s="52" t="s">
        <v>8</v>
      </c>
      <c r="G3" s="52" t="s">
        <v>22</v>
      </c>
      <c r="H3" s="52" t="s">
        <v>7</v>
      </c>
      <c r="I3" s="52" t="s">
        <v>8</v>
      </c>
      <c r="J3" s="52" t="s">
        <v>22</v>
      </c>
      <c r="K3" s="52" t="s">
        <v>7</v>
      </c>
      <c r="L3" s="53" t="s">
        <v>8</v>
      </c>
      <c r="M3" s="100" t="s">
        <v>22</v>
      </c>
      <c r="N3" s="112"/>
      <c r="O3" s="110"/>
      <c r="P3" s="113"/>
      <c r="Q3" s="112"/>
      <c r="R3" s="110"/>
      <c r="S3" s="113"/>
      <c r="T3" s="26"/>
    </row>
    <row r="4" spans="1:20" x14ac:dyDescent="0.3">
      <c r="A4" s="105" t="s">
        <v>0</v>
      </c>
      <c r="B4" s="63">
        <v>1</v>
      </c>
      <c r="C4" s="61"/>
      <c r="D4" s="60"/>
      <c r="E4" s="101">
        <v>1.07</v>
      </c>
      <c r="F4" s="61">
        <v>1.07</v>
      </c>
      <c r="G4" s="61">
        <v>1.06</v>
      </c>
      <c r="H4" s="61"/>
      <c r="I4" s="61"/>
      <c r="J4" s="61"/>
      <c r="K4" s="61"/>
      <c r="L4" s="61"/>
      <c r="M4" s="60"/>
      <c r="N4" s="101">
        <f>(F4+G4+E4)/3</f>
        <v>1.0666666666666667</v>
      </c>
      <c r="O4" s="61">
        <f>(I4+J4+H4)/3</f>
        <v>0</v>
      </c>
      <c r="P4" s="102">
        <f>(L4+M4+K4)/3</f>
        <v>0</v>
      </c>
      <c r="Q4" s="103">
        <f>(ABS(N4-B4))/B4</f>
        <v>6.6666666666666652E-2</v>
      </c>
      <c r="R4" s="62"/>
      <c r="S4" s="104"/>
      <c r="T4" s="26"/>
    </row>
    <row r="5" spans="1:20" x14ac:dyDescent="0.3">
      <c r="A5" s="78"/>
      <c r="B5" s="26">
        <v>22</v>
      </c>
      <c r="D5" s="28"/>
      <c r="E5" s="17">
        <v>22.2</v>
      </c>
      <c r="F5" s="32">
        <v>22.22</v>
      </c>
      <c r="G5" s="32">
        <v>22.24</v>
      </c>
      <c r="M5" s="28"/>
      <c r="N5" s="17">
        <f t="shared" ref="N5:N43" si="0">(F5+G5+E5)/3</f>
        <v>22.22</v>
      </c>
      <c r="O5" s="32">
        <f t="shared" ref="O5:O43" si="1">(I5+J5+H5)/3</f>
        <v>0</v>
      </c>
      <c r="P5" s="33">
        <f t="shared" ref="P5:P43" si="2">(L5+M5+K5)/3</f>
        <v>0</v>
      </c>
      <c r="Q5" s="48">
        <f t="shared" ref="Q5:Q30" si="3">(ABS(N5-B5))/B5</f>
        <v>9.9999999999999482E-3</v>
      </c>
      <c r="R5" s="49"/>
      <c r="S5" s="50"/>
      <c r="T5" s="26"/>
    </row>
    <row r="6" spans="1:20" x14ac:dyDescent="0.3">
      <c r="A6" s="78"/>
      <c r="B6" s="26">
        <v>47</v>
      </c>
      <c r="D6" s="28"/>
      <c r="E6" s="17">
        <v>47.28</v>
      </c>
      <c r="F6" s="32">
        <v>47.28</v>
      </c>
      <c r="G6" s="32">
        <v>47.32</v>
      </c>
      <c r="M6" s="28"/>
      <c r="N6" s="17">
        <f>(F6+G6+E6)/3</f>
        <v>47.293333333333329</v>
      </c>
      <c r="O6" s="32">
        <f t="shared" si="1"/>
        <v>0</v>
      </c>
      <c r="P6" s="33">
        <f t="shared" si="2"/>
        <v>0</v>
      </c>
      <c r="Q6" s="48">
        <f t="shared" si="3"/>
        <v>6.2411347517729674E-3</v>
      </c>
      <c r="R6" s="49"/>
      <c r="S6" s="50"/>
      <c r="T6" s="26"/>
    </row>
    <row r="7" spans="1:20" x14ac:dyDescent="0.3">
      <c r="A7" s="78"/>
      <c r="B7" s="26">
        <v>100</v>
      </c>
      <c r="D7" s="28"/>
      <c r="E7" s="17">
        <v>102.28</v>
      </c>
      <c r="F7" s="32">
        <v>102.28</v>
      </c>
      <c r="G7" s="32">
        <v>102.28</v>
      </c>
      <c r="M7" s="28"/>
      <c r="N7" s="17">
        <f t="shared" si="0"/>
        <v>102.28000000000002</v>
      </c>
      <c r="O7" s="32">
        <f t="shared" si="1"/>
        <v>0</v>
      </c>
      <c r="P7" s="33">
        <f t="shared" si="2"/>
        <v>0</v>
      </c>
      <c r="Q7" s="48">
        <f t="shared" si="3"/>
        <v>2.2800000000000153E-2</v>
      </c>
      <c r="R7" s="49"/>
      <c r="S7" s="50"/>
      <c r="T7" s="26"/>
    </row>
    <row r="8" spans="1:20" x14ac:dyDescent="0.3">
      <c r="A8" s="78"/>
      <c r="B8" s="26">
        <v>200</v>
      </c>
      <c r="D8" s="28"/>
      <c r="E8" s="17">
        <v>205.29</v>
      </c>
      <c r="F8" s="32">
        <v>205.34</v>
      </c>
      <c r="G8" s="32">
        <v>205.36</v>
      </c>
      <c r="M8" s="28"/>
      <c r="N8" s="17">
        <f t="shared" si="0"/>
        <v>205.33</v>
      </c>
      <c r="O8" s="32">
        <f t="shared" si="1"/>
        <v>0</v>
      </c>
      <c r="P8" s="33">
        <f t="shared" si="2"/>
        <v>0</v>
      </c>
      <c r="Q8" s="48">
        <f t="shared" si="3"/>
        <v>2.6650000000000063E-2</v>
      </c>
      <c r="R8" s="49"/>
      <c r="S8" s="50"/>
      <c r="T8" s="26"/>
    </row>
    <row r="9" spans="1:20" x14ac:dyDescent="0.3">
      <c r="A9" s="78"/>
      <c r="B9" s="26">
        <v>510</v>
      </c>
      <c r="D9" s="28"/>
      <c r="E9" s="17">
        <v>508.61</v>
      </c>
      <c r="F9" s="32">
        <v>508.67</v>
      </c>
      <c r="G9" s="32">
        <v>508.46</v>
      </c>
      <c r="M9" s="28"/>
      <c r="N9" s="17">
        <f t="shared" si="0"/>
        <v>508.58</v>
      </c>
      <c r="O9" s="32">
        <f t="shared" si="1"/>
        <v>0</v>
      </c>
      <c r="P9" s="33">
        <f t="shared" si="2"/>
        <v>0</v>
      </c>
      <c r="Q9" s="48">
        <f t="shared" si="3"/>
        <v>2.7843137254902274E-3</v>
      </c>
      <c r="R9" s="49"/>
      <c r="S9" s="50"/>
      <c r="T9" s="26"/>
    </row>
    <row r="10" spans="1:20" x14ac:dyDescent="0.3">
      <c r="A10" s="78"/>
      <c r="B10" s="26">
        <v>1000</v>
      </c>
      <c r="D10" s="28"/>
      <c r="E10" s="17">
        <v>987.71</v>
      </c>
      <c r="F10" s="32">
        <v>988.03</v>
      </c>
      <c r="G10" s="32">
        <v>988.31</v>
      </c>
      <c r="M10" s="28"/>
      <c r="N10" s="17">
        <f t="shared" si="0"/>
        <v>988.01666666666677</v>
      </c>
      <c r="O10" s="32">
        <f t="shared" si="1"/>
        <v>0</v>
      </c>
      <c r="P10" s="33">
        <f t="shared" si="2"/>
        <v>0</v>
      </c>
      <c r="Q10" s="48">
        <f t="shared" si="3"/>
        <v>1.1983333333333235E-2</v>
      </c>
      <c r="R10" s="49"/>
      <c r="S10" s="50"/>
      <c r="T10" s="26"/>
    </row>
    <row r="11" spans="1:20" x14ac:dyDescent="0.3">
      <c r="A11" s="78"/>
      <c r="B11" s="26">
        <v>2000</v>
      </c>
      <c r="D11" s="28"/>
      <c r="E11" s="17">
        <v>2000</v>
      </c>
      <c r="F11" s="32">
        <v>2000</v>
      </c>
      <c r="G11" s="32">
        <v>2000</v>
      </c>
      <c r="M11" s="28"/>
      <c r="N11" s="17">
        <f t="shared" si="0"/>
        <v>2000</v>
      </c>
      <c r="O11" s="32">
        <f t="shared" si="1"/>
        <v>0</v>
      </c>
      <c r="P11" s="33">
        <f t="shared" si="2"/>
        <v>0</v>
      </c>
      <c r="Q11" s="48">
        <f t="shared" si="3"/>
        <v>0</v>
      </c>
      <c r="R11" s="49"/>
      <c r="S11" s="50"/>
      <c r="T11" s="26"/>
    </row>
    <row r="12" spans="1:20" x14ac:dyDescent="0.3">
      <c r="A12" s="78"/>
      <c r="B12" s="26">
        <v>5100</v>
      </c>
      <c r="D12" s="28"/>
      <c r="E12" s="17">
        <v>5090</v>
      </c>
      <c r="F12" s="32">
        <v>5090</v>
      </c>
      <c r="G12" s="32">
        <v>5090</v>
      </c>
      <c r="M12" s="28"/>
      <c r="N12" s="17">
        <f t="shared" si="0"/>
        <v>5090</v>
      </c>
      <c r="O12" s="32">
        <f t="shared" si="1"/>
        <v>0</v>
      </c>
      <c r="P12" s="33">
        <f t="shared" si="2"/>
        <v>0</v>
      </c>
      <c r="Q12" s="48">
        <f t="shared" si="3"/>
        <v>1.9607843137254902E-3</v>
      </c>
      <c r="R12" s="49"/>
      <c r="S12" s="50"/>
      <c r="T12" s="26"/>
    </row>
    <row r="13" spans="1:20" x14ac:dyDescent="0.3">
      <c r="A13" s="78"/>
      <c r="B13" s="26">
        <v>10000</v>
      </c>
      <c r="D13" s="28"/>
      <c r="E13" s="17">
        <v>9790</v>
      </c>
      <c r="F13" s="32">
        <v>9790</v>
      </c>
      <c r="G13" s="32">
        <v>9790</v>
      </c>
      <c r="M13" s="28"/>
      <c r="N13" s="17">
        <f t="shared" si="0"/>
        <v>9790</v>
      </c>
      <c r="O13" s="32">
        <f t="shared" si="1"/>
        <v>0</v>
      </c>
      <c r="P13" s="33">
        <f t="shared" si="2"/>
        <v>0</v>
      </c>
      <c r="Q13" s="48">
        <f t="shared" si="3"/>
        <v>2.1000000000000001E-2</v>
      </c>
      <c r="R13" s="49"/>
      <c r="S13" s="50"/>
      <c r="T13" s="26"/>
    </row>
    <row r="14" spans="1:20" x14ac:dyDescent="0.3">
      <c r="A14" s="78"/>
      <c r="B14" s="26">
        <v>20000</v>
      </c>
      <c r="D14" s="28"/>
      <c r="E14" s="17">
        <v>19430</v>
      </c>
      <c r="F14" s="32">
        <v>19410</v>
      </c>
      <c r="G14" s="32">
        <v>19410</v>
      </c>
      <c r="M14" s="28"/>
      <c r="N14" s="17">
        <f t="shared" si="0"/>
        <v>19416.666666666668</v>
      </c>
      <c r="O14" s="32">
        <f t="shared" si="1"/>
        <v>0</v>
      </c>
      <c r="P14" s="33">
        <f t="shared" si="2"/>
        <v>0</v>
      </c>
      <c r="Q14" s="48">
        <f t="shared" si="3"/>
        <v>2.9166666666666605E-2</v>
      </c>
      <c r="R14" s="49"/>
      <c r="S14" s="50"/>
      <c r="T14" s="26"/>
    </row>
    <row r="15" spans="1:20" x14ac:dyDescent="0.3">
      <c r="A15" s="78"/>
      <c r="B15" s="26">
        <v>51000</v>
      </c>
      <c r="D15" s="28"/>
      <c r="E15" s="17">
        <v>50510</v>
      </c>
      <c r="F15" s="32">
        <v>50560</v>
      </c>
      <c r="G15" s="32">
        <v>50540</v>
      </c>
      <c r="M15" s="28"/>
      <c r="N15" s="17">
        <f t="shared" si="0"/>
        <v>50536.666666666664</v>
      </c>
      <c r="O15" s="32">
        <f t="shared" si="1"/>
        <v>0</v>
      </c>
      <c r="P15" s="33">
        <f t="shared" si="2"/>
        <v>0</v>
      </c>
      <c r="Q15" s="48">
        <f t="shared" si="3"/>
        <v>9.0849673202614851E-3</v>
      </c>
      <c r="R15" s="49"/>
      <c r="S15" s="50"/>
      <c r="T15" s="26"/>
    </row>
    <row r="16" spans="1:20" x14ac:dyDescent="0.3">
      <c r="A16" s="78" t="s">
        <v>19</v>
      </c>
      <c r="B16" s="26">
        <v>100</v>
      </c>
      <c r="D16" s="28"/>
      <c r="E16" s="17">
        <v>101.21</v>
      </c>
      <c r="F16" s="32">
        <v>101.32</v>
      </c>
      <c r="G16" s="32">
        <v>101.3</v>
      </c>
      <c r="M16" s="28"/>
      <c r="N16" s="17">
        <f t="shared" si="0"/>
        <v>101.27666666666666</v>
      </c>
      <c r="O16" s="32">
        <f t="shared" si="1"/>
        <v>0</v>
      </c>
      <c r="P16" s="33">
        <f t="shared" si="2"/>
        <v>0</v>
      </c>
      <c r="Q16" s="48">
        <f t="shared" si="3"/>
        <v>1.2766666666666567E-2</v>
      </c>
      <c r="R16" s="49"/>
      <c r="S16" s="50"/>
      <c r="T16" s="26"/>
    </row>
    <row r="17" spans="1:20" x14ac:dyDescent="0.3">
      <c r="A17" s="78"/>
      <c r="B17" s="26">
        <v>220</v>
      </c>
      <c r="D17" s="28"/>
      <c r="E17" s="17">
        <v>217.64</v>
      </c>
      <c r="F17" s="32">
        <v>217.69</v>
      </c>
      <c r="G17" s="32">
        <v>217.8</v>
      </c>
      <c r="M17" s="28"/>
      <c r="N17" s="17">
        <f t="shared" si="0"/>
        <v>217.71</v>
      </c>
      <c r="O17" s="32">
        <f t="shared" si="1"/>
        <v>0</v>
      </c>
      <c r="P17" s="33">
        <f t="shared" si="2"/>
        <v>0</v>
      </c>
      <c r="Q17" s="48">
        <f t="shared" si="3"/>
        <v>1.0409090909090873E-2</v>
      </c>
      <c r="R17" s="49"/>
      <c r="S17" s="50"/>
      <c r="T17" s="26"/>
    </row>
    <row r="18" spans="1:20" x14ac:dyDescent="0.3">
      <c r="A18" s="78"/>
      <c r="B18" s="26">
        <v>300</v>
      </c>
      <c r="D18" s="28"/>
      <c r="E18" s="17">
        <v>289.89999999999998</v>
      </c>
      <c r="F18" s="32">
        <v>289.69</v>
      </c>
      <c r="G18" s="32">
        <v>289.32</v>
      </c>
      <c r="M18" s="28"/>
      <c r="N18" s="17">
        <f t="shared" si="0"/>
        <v>289.63666666666666</v>
      </c>
      <c r="O18" s="32">
        <f t="shared" si="1"/>
        <v>0</v>
      </c>
      <c r="P18" s="33">
        <f t="shared" si="2"/>
        <v>0</v>
      </c>
      <c r="Q18" s="48">
        <f t="shared" si="3"/>
        <v>3.4544444444444482E-2</v>
      </c>
      <c r="R18" s="49"/>
      <c r="S18" s="50"/>
      <c r="T18" s="26"/>
    </row>
    <row r="19" spans="1:20" x14ac:dyDescent="0.3">
      <c r="A19" s="83"/>
      <c r="B19" s="44">
        <v>680</v>
      </c>
      <c r="C19" s="35"/>
      <c r="D19" s="34"/>
      <c r="E19" s="17">
        <v>739.1</v>
      </c>
      <c r="F19" s="32">
        <v>738.27</v>
      </c>
      <c r="G19" s="32">
        <v>738.8</v>
      </c>
      <c r="M19" s="28"/>
      <c r="N19" s="17">
        <f t="shared" si="0"/>
        <v>738.72333333333336</v>
      </c>
      <c r="O19" s="32">
        <f t="shared" si="1"/>
        <v>0</v>
      </c>
      <c r="P19" s="33">
        <f t="shared" si="2"/>
        <v>0</v>
      </c>
      <c r="Q19" s="48">
        <f t="shared" si="3"/>
        <v>8.6357843137254933E-2</v>
      </c>
      <c r="R19" s="58"/>
      <c r="S19" s="59"/>
      <c r="T19" s="26"/>
    </row>
    <row r="20" spans="1:20" ht="14.5" thickBot="1" x14ac:dyDescent="0.35">
      <c r="A20" s="81"/>
      <c r="B20" s="51">
        <v>1000</v>
      </c>
      <c r="C20" s="52"/>
      <c r="D20" s="100"/>
      <c r="E20" s="54">
        <v>1018.83</v>
      </c>
      <c r="F20" s="52">
        <v>1019.06</v>
      </c>
      <c r="G20" s="52">
        <v>1019.97</v>
      </c>
      <c r="H20" s="52"/>
      <c r="I20" s="52"/>
      <c r="J20" s="52"/>
      <c r="K20" s="52"/>
      <c r="L20" s="52"/>
      <c r="M20" s="100"/>
      <c r="N20" s="54">
        <f t="shared" si="0"/>
        <v>1019.2866666666667</v>
      </c>
      <c r="O20" s="52">
        <f t="shared" si="1"/>
        <v>0</v>
      </c>
      <c r="P20" s="53">
        <f t="shared" si="2"/>
        <v>0</v>
      </c>
      <c r="Q20" s="55">
        <f t="shared" si="3"/>
        <v>1.9286666666666747E-2</v>
      </c>
      <c r="R20" s="56"/>
      <c r="S20" s="57"/>
      <c r="T20" s="26"/>
    </row>
    <row r="21" spans="1:20" x14ac:dyDescent="0.3">
      <c r="A21" s="82" t="s">
        <v>11</v>
      </c>
      <c r="B21" s="43">
        <v>0.5</v>
      </c>
      <c r="C21" s="30"/>
      <c r="D21" s="97">
        <v>0.1</v>
      </c>
      <c r="E21" s="29">
        <v>0.74</v>
      </c>
      <c r="F21" s="30">
        <v>0.75</v>
      </c>
      <c r="G21" s="30">
        <v>0.75</v>
      </c>
      <c r="H21" s="30"/>
      <c r="I21" s="30"/>
      <c r="J21" s="30"/>
      <c r="K21" s="30">
        <v>9.2999999999999999E-2</v>
      </c>
      <c r="L21" s="30">
        <v>9.4E-2</v>
      </c>
      <c r="M21" s="97">
        <v>9.4E-2</v>
      </c>
      <c r="N21" s="29">
        <f t="shared" si="0"/>
        <v>0.7466666666666667</v>
      </c>
      <c r="O21" s="30">
        <f t="shared" si="1"/>
        <v>0</v>
      </c>
      <c r="P21" s="31">
        <f>(L21+M21+K21)/3</f>
        <v>9.3666666666666676E-2</v>
      </c>
      <c r="Q21" s="45">
        <f t="shared" si="3"/>
        <v>0.4933333333333334</v>
      </c>
      <c r="R21" s="46"/>
      <c r="S21" s="47">
        <f t="shared" ref="S21:S30" si="4">(ABS(P21-D21))/D21</f>
        <v>6.3333333333333297E-2</v>
      </c>
      <c r="T21" s="26"/>
    </row>
    <row r="22" spans="1:20" x14ac:dyDescent="0.3">
      <c r="A22" s="79"/>
      <c r="B22" s="26">
        <v>0.8</v>
      </c>
      <c r="D22" s="28">
        <v>0.15</v>
      </c>
      <c r="E22" s="17">
        <v>1.06</v>
      </c>
      <c r="F22" s="32">
        <v>1.08</v>
      </c>
      <c r="G22" s="32">
        <v>1.08</v>
      </c>
      <c r="K22" s="32">
        <v>0.13</v>
      </c>
      <c r="L22" s="32">
        <v>0.13</v>
      </c>
      <c r="M22" s="28">
        <v>0.13</v>
      </c>
      <c r="N22" s="17">
        <f t="shared" si="0"/>
        <v>1.0733333333333335</v>
      </c>
      <c r="O22" s="32">
        <f t="shared" si="1"/>
        <v>0</v>
      </c>
      <c r="P22" s="102">
        <f t="shared" ref="P22:P35" si="5">(L22+M22+K22)/3</f>
        <v>0.13</v>
      </c>
      <c r="Q22" s="48">
        <f t="shared" si="3"/>
        <v>0.34166666666666679</v>
      </c>
      <c r="R22" s="49"/>
      <c r="S22" s="50">
        <f t="shared" si="4"/>
        <v>0.13333333333333328</v>
      </c>
      <c r="T22" s="26"/>
    </row>
    <row r="23" spans="1:20" x14ac:dyDescent="0.3">
      <c r="A23" s="79"/>
      <c r="B23" s="26">
        <v>0.9</v>
      </c>
      <c r="D23" s="28">
        <v>0.22</v>
      </c>
      <c r="E23" s="17">
        <v>1.1299999999999999</v>
      </c>
      <c r="F23" s="32">
        <v>1.17</v>
      </c>
      <c r="G23" s="32">
        <v>1.1599999999999999</v>
      </c>
      <c r="K23" s="32">
        <v>0.21299999999999999</v>
      </c>
      <c r="L23" s="32">
        <v>0.21</v>
      </c>
      <c r="M23" s="28">
        <v>0.21</v>
      </c>
      <c r="N23" s="17">
        <f t="shared" si="0"/>
        <v>1.1533333333333333</v>
      </c>
      <c r="O23" s="32">
        <f t="shared" si="1"/>
        <v>0</v>
      </c>
      <c r="P23" s="102">
        <f t="shared" si="5"/>
        <v>0.21099999999999999</v>
      </c>
      <c r="Q23" s="48">
        <f t="shared" si="3"/>
        <v>0.28148148148148144</v>
      </c>
      <c r="R23" s="49"/>
      <c r="S23" s="50">
        <f t="shared" si="4"/>
        <v>4.0909090909090944E-2</v>
      </c>
      <c r="T23" s="26"/>
    </row>
    <row r="24" spans="1:20" x14ac:dyDescent="0.3">
      <c r="A24" s="79"/>
      <c r="B24" s="26">
        <v>1.6</v>
      </c>
      <c r="D24" s="28">
        <v>0.33</v>
      </c>
      <c r="E24" s="17">
        <v>1.94</v>
      </c>
      <c r="F24" s="32">
        <v>1.91</v>
      </c>
      <c r="G24" s="32">
        <v>1.93</v>
      </c>
      <c r="K24" s="32">
        <v>0.3</v>
      </c>
      <c r="L24" s="32">
        <v>0.31</v>
      </c>
      <c r="M24" s="28">
        <v>0.31</v>
      </c>
      <c r="N24" s="17">
        <f t="shared" si="0"/>
        <v>1.9266666666666665</v>
      </c>
      <c r="O24" s="32">
        <f t="shared" si="1"/>
        <v>0</v>
      </c>
      <c r="P24" s="102">
        <f t="shared" si="5"/>
        <v>0.30666666666666664</v>
      </c>
      <c r="Q24" s="48">
        <f t="shared" si="3"/>
        <v>0.20416666666666652</v>
      </c>
      <c r="R24" s="49"/>
      <c r="S24" s="50">
        <f t="shared" si="4"/>
        <v>7.0707070707070829E-2</v>
      </c>
      <c r="T24" s="26"/>
    </row>
    <row r="25" spans="1:20" x14ac:dyDescent="0.3">
      <c r="A25" s="79"/>
      <c r="B25" s="26">
        <v>2</v>
      </c>
      <c r="D25" s="28">
        <v>0.47</v>
      </c>
      <c r="E25" s="17">
        <v>2.29</v>
      </c>
      <c r="F25" s="32">
        <v>2.2799999999999998</v>
      </c>
      <c r="G25" s="32">
        <v>2.2799999999999998</v>
      </c>
      <c r="K25" s="32">
        <v>0.46</v>
      </c>
      <c r="L25" s="32">
        <v>0.43</v>
      </c>
      <c r="M25" s="28">
        <v>0.43</v>
      </c>
      <c r="N25" s="17">
        <f t="shared" si="0"/>
        <v>2.2833333333333332</v>
      </c>
      <c r="O25" s="32">
        <f t="shared" si="1"/>
        <v>0</v>
      </c>
      <c r="P25" s="102">
        <f t="shared" si="5"/>
        <v>0.44</v>
      </c>
      <c r="Q25" s="48">
        <f t="shared" si="3"/>
        <v>0.14166666666666661</v>
      </c>
      <c r="R25" s="49"/>
      <c r="S25" s="50">
        <f t="shared" si="4"/>
        <v>6.3829787234042493E-2</v>
      </c>
      <c r="T25" s="26"/>
    </row>
    <row r="26" spans="1:20" x14ac:dyDescent="0.3">
      <c r="A26" s="79"/>
      <c r="B26" s="26">
        <v>2.8</v>
      </c>
      <c r="D26" s="28">
        <v>1</v>
      </c>
      <c r="E26" s="17">
        <v>3.08</v>
      </c>
      <c r="F26" s="32">
        <v>3.11</v>
      </c>
      <c r="G26" s="32">
        <v>3.1</v>
      </c>
      <c r="K26" s="32">
        <v>1.02</v>
      </c>
      <c r="L26" s="32">
        <v>1.02</v>
      </c>
      <c r="M26" s="28">
        <v>1.02</v>
      </c>
      <c r="N26" s="17">
        <f t="shared" si="0"/>
        <v>3.0966666666666662</v>
      </c>
      <c r="O26" s="32">
        <f t="shared" si="1"/>
        <v>0</v>
      </c>
      <c r="P26" s="102">
        <f t="shared" si="5"/>
        <v>1.02</v>
      </c>
      <c r="Q26" s="48">
        <f t="shared" si="3"/>
        <v>0.10595238095238087</v>
      </c>
      <c r="R26" s="49"/>
      <c r="S26" s="50">
        <f t="shared" si="4"/>
        <v>2.0000000000000018E-2</v>
      </c>
      <c r="T26" s="26"/>
    </row>
    <row r="27" spans="1:20" x14ac:dyDescent="0.3">
      <c r="A27" s="79"/>
      <c r="B27" s="26">
        <v>6.8</v>
      </c>
      <c r="D27" s="28">
        <v>2.2000000000000002</v>
      </c>
      <c r="E27" s="17">
        <v>7.03</v>
      </c>
      <c r="F27" s="32">
        <v>7.01</v>
      </c>
      <c r="G27" s="32">
        <v>6.99</v>
      </c>
      <c r="K27" s="32">
        <v>2.14</v>
      </c>
      <c r="L27" s="32">
        <v>2.13</v>
      </c>
      <c r="M27" s="28">
        <v>2.14</v>
      </c>
      <c r="N27" s="17">
        <f t="shared" si="0"/>
        <v>7.0100000000000007</v>
      </c>
      <c r="O27" s="32">
        <f t="shared" si="1"/>
        <v>0</v>
      </c>
      <c r="P27" s="102">
        <f t="shared" si="5"/>
        <v>2.1366666666666667</v>
      </c>
      <c r="Q27" s="48">
        <f t="shared" si="3"/>
        <v>3.0882352941176597E-2</v>
      </c>
      <c r="R27" s="49"/>
      <c r="S27" s="50">
        <f t="shared" si="4"/>
        <v>2.8787878787878845E-2</v>
      </c>
      <c r="T27" s="26"/>
    </row>
    <row r="28" spans="1:20" x14ac:dyDescent="0.3">
      <c r="A28" s="79"/>
      <c r="B28" s="26">
        <v>8.1999999999999993</v>
      </c>
      <c r="D28" s="28">
        <v>3.3</v>
      </c>
      <c r="E28" s="17">
        <v>9.92</v>
      </c>
      <c r="F28" s="32">
        <v>9.9</v>
      </c>
      <c r="G28" s="32">
        <v>9.92</v>
      </c>
      <c r="K28" s="32">
        <v>3.37</v>
      </c>
      <c r="L28" s="32">
        <v>3.37</v>
      </c>
      <c r="M28" s="28">
        <v>3.36</v>
      </c>
      <c r="N28" s="17">
        <f t="shared" si="0"/>
        <v>9.913333333333334</v>
      </c>
      <c r="O28" s="32">
        <f t="shared" si="1"/>
        <v>0</v>
      </c>
      <c r="P28" s="102">
        <f t="shared" si="5"/>
        <v>3.3666666666666671</v>
      </c>
      <c r="Q28" s="48">
        <f t="shared" si="3"/>
        <v>0.20894308943089449</v>
      </c>
      <c r="R28" s="49"/>
      <c r="S28" s="50">
        <f t="shared" si="4"/>
        <v>2.0202020202020401E-2</v>
      </c>
      <c r="T28" s="26"/>
    </row>
    <row r="29" spans="1:20" x14ac:dyDescent="0.3">
      <c r="A29" s="79"/>
      <c r="B29" s="26">
        <v>13</v>
      </c>
      <c r="D29" s="28">
        <v>4.7</v>
      </c>
      <c r="E29" s="17">
        <v>13.51</v>
      </c>
      <c r="F29" s="32">
        <v>13.47</v>
      </c>
      <c r="G29" s="32">
        <v>13.47</v>
      </c>
      <c r="K29" s="32">
        <v>4.67</v>
      </c>
      <c r="L29" s="32">
        <v>4.6900000000000004</v>
      </c>
      <c r="M29" s="28">
        <v>4.68</v>
      </c>
      <c r="N29" s="17">
        <f t="shared" si="0"/>
        <v>13.483333333333334</v>
      </c>
      <c r="O29" s="32">
        <f t="shared" si="1"/>
        <v>0</v>
      </c>
      <c r="P29" s="102">
        <f t="shared" si="5"/>
        <v>4.6800000000000006</v>
      </c>
      <c r="Q29" s="48">
        <f t="shared" si="3"/>
        <v>3.7179487179487256E-2</v>
      </c>
      <c r="R29" s="49"/>
      <c r="S29" s="50">
        <f t="shared" si="4"/>
        <v>4.2553191489360792E-3</v>
      </c>
      <c r="T29" s="26"/>
    </row>
    <row r="30" spans="1:20" ht="14.5" thickBot="1" x14ac:dyDescent="0.35">
      <c r="A30" s="80"/>
      <c r="B30" s="51">
        <v>28.2</v>
      </c>
      <c r="C30" s="52"/>
      <c r="D30" s="100">
        <v>10</v>
      </c>
      <c r="E30" s="54">
        <v>23.01</v>
      </c>
      <c r="F30" s="52">
        <v>22.98</v>
      </c>
      <c r="G30" s="52">
        <v>23.03</v>
      </c>
      <c r="H30" s="52"/>
      <c r="I30" s="52"/>
      <c r="J30" s="52"/>
      <c r="K30" s="52">
        <v>10.67</v>
      </c>
      <c r="L30" s="52">
        <v>10.67</v>
      </c>
      <c r="M30" s="100">
        <v>10.65</v>
      </c>
      <c r="N30" s="54">
        <f t="shared" si="0"/>
        <v>23.006666666666671</v>
      </c>
      <c r="O30" s="52">
        <f t="shared" si="1"/>
        <v>0</v>
      </c>
      <c r="P30" s="106">
        <f t="shared" si="5"/>
        <v>10.663333333333334</v>
      </c>
      <c r="Q30" s="55">
        <f t="shared" si="3"/>
        <v>0.18416075650118185</v>
      </c>
      <c r="R30" s="56"/>
      <c r="S30" s="57">
        <f t="shared" si="4"/>
        <v>6.6333333333333397E-2</v>
      </c>
      <c r="T30" s="26"/>
    </row>
    <row r="31" spans="1:20" x14ac:dyDescent="0.3">
      <c r="A31" s="105" t="s">
        <v>23</v>
      </c>
      <c r="B31" s="63"/>
      <c r="C31" s="61">
        <v>1</v>
      </c>
      <c r="D31" s="60"/>
      <c r="E31" s="101"/>
      <c r="F31" s="61"/>
      <c r="G31" s="61"/>
      <c r="H31" s="61">
        <v>1.1100000000000001</v>
      </c>
      <c r="I31" s="61">
        <v>1.1200000000000001</v>
      </c>
      <c r="J31" s="61">
        <v>1.1200000000000001</v>
      </c>
      <c r="K31" s="61"/>
      <c r="L31" s="61"/>
      <c r="M31" s="60"/>
      <c r="N31" s="101">
        <f t="shared" si="0"/>
        <v>0</v>
      </c>
      <c r="O31" s="61">
        <f t="shared" si="1"/>
        <v>1.1166666666666669</v>
      </c>
      <c r="P31" s="102">
        <f t="shared" si="5"/>
        <v>0</v>
      </c>
      <c r="Q31" s="103"/>
      <c r="R31" s="107">
        <f>(ABS(O31-C31))/C31</f>
        <v>0.11666666666666692</v>
      </c>
      <c r="S31" s="104"/>
      <c r="T31" s="26"/>
    </row>
    <row r="32" spans="1:20" x14ac:dyDescent="0.3">
      <c r="A32" s="78"/>
      <c r="B32" s="26"/>
      <c r="C32" s="32">
        <v>2.2000000000000002</v>
      </c>
      <c r="D32" s="28"/>
      <c r="E32" s="17"/>
      <c r="F32" s="32"/>
      <c r="H32" s="32">
        <v>2.11</v>
      </c>
      <c r="I32" s="32">
        <v>2.11</v>
      </c>
      <c r="J32" s="32">
        <v>2.12</v>
      </c>
      <c r="M32" s="28"/>
      <c r="N32" s="17">
        <f t="shared" si="0"/>
        <v>0</v>
      </c>
      <c r="O32" s="32">
        <f t="shared" si="1"/>
        <v>2.1133333333333333</v>
      </c>
      <c r="P32" s="102">
        <f t="shared" si="5"/>
        <v>0</v>
      </c>
      <c r="Q32" s="48"/>
      <c r="R32" s="49">
        <f t="shared" ref="R32:R43" si="6">(ABS(O32-C32))/C32</f>
        <v>3.9393939393939495E-2</v>
      </c>
      <c r="S32" s="50"/>
      <c r="T32" s="26"/>
    </row>
    <row r="33" spans="1:20" x14ac:dyDescent="0.3">
      <c r="A33" s="78"/>
      <c r="B33" s="26"/>
      <c r="C33" s="32">
        <v>4.7</v>
      </c>
      <c r="D33" s="28"/>
      <c r="E33" s="17"/>
      <c r="F33" s="32"/>
      <c r="H33" s="32">
        <v>4.47</v>
      </c>
      <c r="I33" s="32">
        <v>4.4800000000000004</v>
      </c>
      <c r="J33" s="32">
        <v>4.46</v>
      </c>
      <c r="M33" s="28"/>
      <c r="N33" s="17">
        <f t="shared" si="0"/>
        <v>0</v>
      </c>
      <c r="O33" s="32">
        <f t="shared" si="1"/>
        <v>4.47</v>
      </c>
      <c r="P33" s="102">
        <f t="shared" si="5"/>
        <v>0</v>
      </c>
      <c r="Q33" s="48"/>
      <c r="R33" s="49">
        <f t="shared" si="6"/>
        <v>4.8936170212766049E-2</v>
      </c>
      <c r="S33" s="50"/>
      <c r="T33" s="26"/>
    </row>
    <row r="34" spans="1:20" x14ac:dyDescent="0.3">
      <c r="A34" s="78"/>
      <c r="B34" s="26"/>
      <c r="C34" s="32">
        <v>10</v>
      </c>
      <c r="D34" s="28"/>
      <c r="E34" s="17"/>
      <c r="F34" s="32"/>
      <c r="H34" s="32">
        <v>9.41</v>
      </c>
      <c r="I34" s="32">
        <v>9.4</v>
      </c>
      <c r="J34" s="32">
        <v>9.41</v>
      </c>
      <c r="M34" s="28"/>
      <c r="N34" s="17">
        <f t="shared" si="0"/>
        <v>0</v>
      </c>
      <c r="O34" s="32">
        <f t="shared" si="1"/>
        <v>9.4066666666666681</v>
      </c>
      <c r="P34" s="102">
        <f t="shared" si="5"/>
        <v>0</v>
      </c>
      <c r="Q34" s="48"/>
      <c r="R34" s="49">
        <f t="shared" si="6"/>
        <v>5.9333333333333196E-2</v>
      </c>
      <c r="S34" s="50"/>
      <c r="T34" s="26"/>
    </row>
    <row r="35" spans="1:20" x14ac:dyDescent="0.3">
      <c r="A35" s="78"/>
      <c r="B35" s="26"/>
      <c r="C35" s="32">
        <v>100</v>
      </c>
      <c r="D35" s="28"/>
      <c r="E35" s="17"/>
      <c r="F35" s="32"/>
      <c r="H35" s="32">
        <v>110.1</v>
      </c>
      <c r="I35" s="32">
        <v>110.23</v>
      </c>
      <c r="J35" s="32">
        <v>110.24</v>
      </c>
      <c r="M35" s="28"/>
      <c r="N35" s="17">
        <f t="shared" si="0"/>
        <v>0</v>
      </c>
      <c r="O35" s="32">
        <f t="shared" si="1"/>
        <v>110.19</v>
      </c>
      <c r="P35" s="102">
        <f t="shared" si="5"/>
        <v>0</v>
      </c>
      <c r="Q35" s="48"/>
      <c r="R35" s="49">
        <f t="shared" si="6"/>
        <v>0.10189999999999998</v>
      </c>
      <c r="S35" s="50"/>
      <c r="T35" s="26"/>
    </row>
    <row r="36" spans="1:20" x14ac:dyDescent="0.3">
      <c r="A36" s="78"/>
      <c r="B36" s="26"/>
      <c r="C36" s="32">
        <v>220</v>
      </c>
      <c r="D36" s="28"/>
      <c r="E36" s="17"/>
      <c r="F36" s="32"/>
      <c r="H36" s="32">
        <v>243.6</v>
      </c>
      <c r="I36" s="32">
        <v>243.1</v>
      </c>
      <c r="J36" s="32">
        <v>243.13</v>
      </c>
      <c r="M36" s="28"/>
      <c r="N36" s="17">
        <f t="shared" si="0"/>
        <v>0</v>
      </c>
      <c r="O36" s="32">
        <f t="shared" si="1"/>
        <v>243.27666666666667</v>
      </c>
      <c r="P36" s="33">
        <f t="shared" si="2"/>
        <v>0</v>
      </c>
      <c r="Q36" s="48"/>
      <c r="R36" s="49">
        <f t="shared" si="6"/>
        <v>0.10580303030303032</v>
      </c>
      <c r="S36" s="50"/>
      <c r="T36" s="26"/>
    </row>
    <row r="37" spans="1:20" x14ac:dyDescent="0.3">
      <c r="A37" s="78"/>
      <c r="B37" s="26"/>
      <c r="C37" s="32">
        <v>470</v>
      </c>
      <c r="D37" s="28"/>
      <c r="E37" s="17"/>
      <c r="F37" s="32"/>
      <c r="H37" s="32">
        <v>551.72</v>
      </c>
      <c r="I37" s="32">
        <v>552.20000000000005</v>
      </c>
      <c r="J37" s="32">
        <v>551.67999999999995</v>
      </c>
      <c r="M37" s="28"/>
      <c r="N37" s="17">
        <f t="shared" si="0"/>
        <v>0</v>
      </c>
      <c r="O37" s="32">
        <f t="shared" si="1"/>
        <v>551.86666666666667</v>
      </c>
      <c r="P37" s="33">
        <f t="shared" si="2"/>
        <v>0</v>
      </c>
      <c r="Q37" s="48"/>
      <c r="R37" s="49">
        <f t="shared" si="6"/>
        <v>0.17418439716312059</v>
      </c>
      <c r="S37" s="50"/>
      <c r="T37" s="26"/>
    </row>
    <row r="38" spans="1:20" x14ac:dyDescent="0.3">
      <c r="A38" s="79" t="s">
        <v>21</v>
      </c>
      <c r="B38" s="26"/>
      <c r="C38" s="108">
        <v>1</v>
      </c>
      <c r="D38" s="28"/>
      <c r="E38" s="17"/>
      <c r="F38" s="32"/>
      <c r="M38" s="28"/>
      <c r="N38" s="17">
        <f t="shared" si="0"/>
        <v>0</v>
      </c>
      <c r="O38" s="32">
        <f t="shared" si="1"/>
        <v>0</v>
      </c>
      <c r="P38" s="33">
        <f t="shared" si="2"/>
        <v>0</v>
      </c>
      <c r="Q38" s="48"/>
      <c r="R38" s="49"/>
      <c r="S38" s="50"/>
      <c r="T38" s="26"/>
    </row>
    <row r="39" spans="1:20" x14ac:dyDescent="0.3">
      <c r="A39" s="79"/>
      <c r="B39" s="26"/>
      <c r="C39" s="108">
        <v>2.2000000000000002</v>
      </c>
      <c r="D39" s="28"/>
      <c r="E39" s="17"/>
      <c r="F39" s="32"/>
      <c r="M39" s="28"/>
      <c r="N39" s="17">
        <f t="shared" si="0"/>
        <v>0</v>
      </c>
      <c r="O39" s="32">
        <f t="shared" si="1"/>
        <v>0</v>
      </c>
      <c r="P39" s="33">
        <f t="shared" si="2"/>
        <v>0</v>
      </c>
      <c r="Q39" s="48"/>
      <c r="R39" s="49"/>
      <c r="S39" s="50"/>
      <c r="T39" s="26"/>
    </row>
    <row r="40" spans="1:20" x14ac:dyDescent="0.3">
      <c r="A40" s="79"/>
      <c r="B40" s="26"/>
      <c r="C40" s="108">
        <v>4.7</v>
      </c>
      <c r="D40" s="28"/>
      <c r="E40" s="17"/>
      <c r="F40" s="32"/>
      <c r="M40" s="28"/>
      <c r="N40" s="17">
        <f t="shared" si="0"/>
        <v>0</v>
      </c>
      <c r="O40" s="32">
        <f t="shared" si="1"/>
        <v>0</v>
      </c>
      <c r="P40" s="33">
        <f t="shared" si="2"/>
        <v>0</v>
      </c>
      <c r="Q40" s="48"/>
      <c r="R40" s="49"/>
      <c r="S40" s="50"/>
      <c r="T40" s="26"/>
    </row>
    <row r="41" spans="1:20" x14ac:dyDescent="0.3">
      <c r="A41" s="79"/>
      <c r="B41" s="26"/>
      <c r="C41" s="108">
        <v>10</v>
      </c>
      <c r="D41" s="28"/>
      <c r="E41" s="17"/>
      <c r="F41" s="32"/>
      <c r="M41" s="28"/>
      <c r="N41" s="17">
        <f t="shared" si="0"/>
        <v>0</v>
      </c>
      <c r="O41" s="32">
        <f t="shared" si="1"/>
        <v>0</v>
      </c>
      <c r="P41" s="33">
        <f t="shared" si="2"/>
        <v>0</v>
      </c>
      <c r="Q41" s="48"/>
      <c r="R41" s="62"/>
      <c r="S41" s="50"/>
      <c r="T41" s="26"/>
    </row>
    <row r="42" spans="1:20" x14ac:dyDescent="0.3">
      <c r="A42" s="79"/>
      <c r="B42" s="26"/>
      <c r="C42" s="32">
        <v>22</v>
      </c>
      <c r="D42" s="28"/>
      <c r="E42" s="17"/>
      <c r="F42" s="32"/>
      <c r="H42" s="32">
        <v>19.63</v>
      </c>
      <c r="I42" s="32">
        <v>19.899999999999999</v>
      </c>
      <c r="J42" s="32">
        <v>19.63</v>
      </c>
      <c r="M42" s="28"/>
      <c r="N42" s="17">
        <f t="shared" si="0"/>
        <v>0</v>
      </c>
      <c r="O42" s="32">
        <f t="shared" si="1"/>
        <v>19.72</v>
      </c>
      <c r="P42" s="33">
        <f t="shared" si="2"/>
        <v>0</v>
      </c>
      <c r="Q42" s="48"/>
      <c r="R42" s="49">
        <f t="shared" si="6"/>
        <v>0.10363636363636369</v>
      </c>
      <c r="S42" s="50"/>
      <c r="T42" s="26"/>
    </row>
    <row r="43" spans="1:20" ht="14.5" thickBot="1" x14ac:dyDescent="0.35">
      <c r="A43" s="80"/>
      <c r="B43" s="51"/>
      <c r="C43" s="52">
        <v>100</v>
      </c>
      <c r="D43" s="100"/>
      <c r="E43" s="54"/>
      <c r="F43" s="52"/>
      <c r="G43" s="52"/>
      <c r="H43" s="52">
        <v>105.84</v>
      </c>
      <c r="I43" s="52">
        <v>105.53</v>
      </c>
      <c r="J43" s="52">
        <v>105.57</v>
      </c>
      <c r="K43" s="52"/>
      <c r="L43" s="52"/>
      <c r="M43" s="100"/>
      <c r="N43" s="54">
        <f t="shared" si="0"/>
        <v>0</v>
      </c>
      <c r="O43" s="52">
        <f t="shared" si="1"/>
        <v>105.64666666666666</v>
      </c>
      <c r="P43" s="53">
        <f t="shared" si="2"/>
        <v>0</v>
      </c>
      <c r="Q43" s="55"/>
      <c r="R43" s="56">
        <f t="shared" si="6"/>
        <v>5.6466666666666609E-2</v>
      </c>
      <c r="S43" s="57"/>
      <c r="T43" s="26"/>
    </row>
    <row r="44" spans="1:20" x14ac:dyDescent="0.3">
      <c r="A44" s="60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2"/>
      <c r="R44" s="62"/>
      <c r="S44" s="62"/>
      <c r="T44" s="26"/>
    </row>
    <row r="45" spans="1:20" x14ac:dyDescent="0.3">
      <c r="E45" s="32"/>
      <c r="F45" s="32"/>
      <c r="Q45" s="49"/>
      <c r="R45" s="49"/>
      <c r="S45" s="49"/>
      <c r="T45" s="26"/>
    </row>
    <row r="46" spans="1:20" x14ac:dyDescent="0.3">
      <c r="E46" s="32"/>
      <c r="F46" s="32"/>
      <c r="Q46" s="49"/>
      <c r="R46" s="49"/>
      <c r="S46" s="49"/>
      <c r="T46" s="26"/>
    </row>
    <row r="47" spans="1:20" x14ac:dyDescent="0.3">
      <c r="E47" s="32"/>
      <c r="F47" s="32"/>
      <c r="Q47" s="49"/>
      <c r="R47" s="49"/>
      <c r="S47" s="49"/>
      <c r="T47" s="26"/>
    </row>
    <row r="48" spans="1:20" x14ac:dyDescent="0.3">
      <c r="E48" s="63"/>
      <c r="F48" s="63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2"/>
      <c r="R48" s="62"/>
      <c r="S48" s="62"/>
    </row>
    <row r="49" spans="17:19" x14ac:dyDescent="0.3">
      <c r="Q49" s="49"/>
      <c r="R49" s="49"/>
      <c r="S49" s="49"/>
    </row>
    <row r="50" spans="17:19" x14ac:dyDescent="0.3">
      <c r="Q50" s="49"/>
      <c r="R50" s="49"/>
      <c r="S50" s="49"/>
    </row>
    <row r="51" spans="17:19" x14ac:dyDescent="0.3">
      <c r="Q51" s="49"/>
      <c r="R51" s="49"/>
      <c r="S51" s="49"/>
    </row>
    <row r="52" spans="17:19" x14ac:dyDescent="0.3">
      <c r="Q52" s="49"/>
      <c r="R52" s="49"/>
      <c r="S52" s="49"/>
    </row>
    <row r="53" spans="17:19" x14ac:dyDescent="0.3">
      <c r="Q53" s="49"/>
      <c r="R53" s="49"/>
      <c r="S53" s="49"/>
    </row>
    <row r="54" spans="17:19" x14ac:dyDescent="0.3">
      <c r="Q54" s="49"/>
      <c r="R54" s="49"/>
      <c r="S54" s="49"/>
    </row>
    <row r="55" spans="17:19" x14ac:dyDescent="0.3">
      <c r="Q55" s="49"/>
      <c r="R55" s="49"/>
      <c r="S55" s="49"/>
    </row>
    <row r="56" spans="17:19" x14ac:dyDescent="0.3">
      <c r="R56" s="49"/>
      <c r="S56" s="49"/>
    </row>
  </sheetData>
  <mergeCells count="22">
    <mergeCell ref="E2:G2"/>
    <mergeCell ref="E1:M1"/>
    <mergeCell ref="A31:A37"/>
    <mergeCell ref="A38:A43"/>
    <mergeCell ref="S2:S3"/>
    <mergeCell ref="A4:A15"/>
    <mergeCell ref="A16:A20"/>
    <mergeCell ref="A21:A30"/>
    <mergeCell ref="A1:A3"/>
    <mergeCell ref="B2:B3"/>
    <mergeCell ref="C2:C3"/>
    <mergeCell ref="D2:D3"/>
    <mergeCell ref="N2:N3"/>
    <mergeCell ref="O2:O3"/>
    <mergeCell ref="B1:D1"/>
    <mergeCell ref="N1:P1"/>
    <mergeCell ref="Q1:S1"/>
    <mergeCell ref="R2:R3"/>
    <mergeCell ref="P2:P3"/>
    <mergeCell ref="Q2:Q3"/>
    <mergeCell ref="K2:M2"/>
    <mergeCell ref="H2:J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8615773813628</cp:lastModifiedBy>
  <dcterms:created xsi:type="dcterms:W3CDTF">2015-06-05T18:19:34Z</dcterms:created>
  <dcterms:modified xsi:type="dcterms:W3CDTF">2025-07-20T09:07:56Z</dcterms:modified>
</cp:coreProperties>
</file>