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北京交通大学\大二下\电设\"/>
    </mc:Choice>
  </mc:AlternateContent>
  <xr:revisionPtr revIDLastSave="0" documentId="13_ncr:1_{11CEAB28-24BD-4788-9E80-A5F5F848FFE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2" l="1"/>
  <c r="M31" i="2"/>
  <c r="M32" i="2"/>
  <c r="M33" i="2"/>
  <c r="M34" i="2"/>
  <c r="M35" i="2"/>
  <c r="M36" i="2"/>
  <c r="O32" i="2"/>
  <c r="O33" i="2"/>
  <c r="O34" i="2"/>
  <c r="O35" i="2"/>
  <c r="O40" i="2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K42" i="2"/>
  <c r="K43" i="2"/>
  <c r="N43" i="2" s="1"/>
  <c r="L31" i="2"/>
  <c r="O31" i="2" s="1"/>
  <c r="L32" i="2"/>
  <c r="L33" i="2"/>
  <c r="L34" i="2"/>
  <c r="L35" i="2"/>
  <c r="L30" i="2"/>
  <c r="O30" i="2"/>
  <c r="P20" i="2"/>
  <c r="P21" i="2"/>
  <c r="P22" i="2"/>
  <c r="P23" i="2"/>
  <c r="P24" i="2"/>
  <c r="P26" i="2"/>
  <c r="P27" i="2"/>
  <c r="P28" i="2"/>
  <c r="M22" i="2"/>
  <c r="M21" i="2"/>
  <c r="M20" i="2"/>
  <c r="M19" i="2"/>
  <c r="M18" i="2"/>
  <c r="L23" i="2"/>
  <c r="L22" i="2"/>
  <c r="L21" i="2"/>
  <c r="L20" i="2"/>
  <c r="L19" i="2"/>
  <c r="L18" i="2"/>
  <c r="K18" i="2"/>
  <c r="N18" i="2" s="1"/>
  <c r="N29" i="2"/>
  <c r="M40" i="2"/>
  <c r="M41" i="2"/>
  <c r="M42" i="2"/>
  <c r="M43" i="2"/>
  <c r="M44" i="2"/>
  <c r="L40" i="2"/>
  <c r="L41" i="2"/>
  <c r="O41" i="2" s="1"/>
  <c r="L42" i="2"/>
  <c r="O42" i="2" s="1"/>
  <c r="L43" i="2"/>
  <c r="O43" i="2" s="1"/>
  <c r="L44" i="2"/>
  <c r="O44" i="2" s="1"/>
  <c r="N41" i="2"/>
  <c r="N42" i="2"/>
  <c r="K44" i="2"/>
  <c r="N44" i="2" s="1"/>
  <c r="M9" i="2"/>
  <c r="M10" i="2"/>
  <c r="M11" i="2"/>
  <c r="M12" i="2"/>
  <c r="M13" i="2"/>
  <c r="M14" i="2"/>
  <c r="M15" i="2"/>
  <c r="M16" i="2"/>
  <c r="M17" i="2"/>
  <c r="L9" i="2"/>
  <c r="L10" i="2"/>
  <c r="L11" i="2"/>
  <c r="L12" i="2"/>
  <c r="L13" i="2"/>
  <c r="L14" i="2"/>
  <c r="L15" i="2"/>
  <c r="L16" i="2"/>
  <c r="L17" i="2"/>
  <c r="L24" i="2"/>
  <c r="L25" i="2"/>
  <c r="L26" i="2"/>
  <c r="L27" i="2"/>
  <c r="L28" i="2"/>
  <c r="K9" i="2"/>
  <c r="N9" i="2"/>
  <c r="M5" i="2"/>
  <c r="M6" i="2"/>
  <c r="M7" i="2"/>
  <c r="M8" i="2"/>
  <c r="M23" i="2"/>
  <c r="M24" i="2"/>
  <c r="M25" i="2"/>
  <c r="P25" i="2" s="1"/>
  <c r="M26" i="2"/>
  <c r="M27" i="2"/>
  <c r="M28" i="2"/>
  <c r="M29" i="2"/>
  <c r="P29" i="2" s="1"/>
  <c r="M37" i="2"/>
  <c r="M38" i="2"/>
  <c r="M39" i="2"/>
  <c r="L5" i="2"/>
  <c r="L6" i="2"/>
  <c r="L7" i="2"/>
  <c r="L8" i="2"/>
  <c r="L29" i="2"/>
  <c r="L36" i="2"/>
  <c r="O36" i="2" s="1"/>
  <c r="L37" i="2"/>
  <c r="O37" i="2" s="1"/>
  <c r="L38" i="2"/>
  <c r="O38" i="2" s="1"/>
  <c r="L39" i="2"/>
  <c r="O39" i="2" s="1"/>
  <c r="K5" i="2"/>
  <c r="N5" i="2" s="1"/>
  <c r="K6" i="2"/>
  <c r="N6" i="2" s="1"/>
  <c r="K7" i="2"/>
  <c r="N7" i="2" s="1"/>
  <c r="K8" i="2"/>
  <c r="N8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K30" i="2"/>
  <c r="N30" i="2" s="1"/>
  <c r="K31" i="2"/>
  <c r="N31" i="2" s="1"/>
  <c r="M4" i="2"/>
  <c r="L4" i="2"/>
  <c r="K4" i="2"/>
  <c r="N4" i="2" s="1"/>
  <c r="N51" i="1"/>
  <c r="R52" i="1"/>
  <c r="R53" i="1"/>
  <c r="R54" i="1"/>
  <c r="R55" i="1"/>
  <c r="R56" i="1"/>
  <c r="R57" i="1"/>
  <c r="R58" i="1"/>
  <c r="R59" i="1"/>
  <c r="R60" i="1"/>
  <c r="R61" i="1"/>
  <c r="R62" i="1"/>
  <c r="R51" i="1"/>
  <c r="P52" i="1"/>
  <c r="P53" i="1"/>
  <c r="P54" i="1"/>
  <c r="P56" i="1"/>
  <c r="P57" i="1"/>
  <c r="P58" i="1"/>
  <c r="P59" i="1"/>
  <c r="P61" i="1"/>
  <c r="P62" i="1"/>
  <c r="P40" i="1"/>
  <c r="P41" i="1"/>
  <c r="P43" i="1"/>
  <c r="P44" i="1"/>
  <c r="P46" i="1"/>
  <c r="P47" i="1"/>
  <c r="P48" i="1"/>
  <c r="P49" i="1"/>
  <c r="N37" i="1"/>
  <c r="N38" i="1"/>
  <c r="N43" i="1"/>
  <c r="N44" i="1"/>
  <c r="N45" i="1"/>
  <c r="N46" i="1"/>
  <c r="N47" i="1"/>
  <c r="N48" i="1"/>
  <c r="N49" i="1"/>
  <c r="N50" i="1"/>
  <c r="N52" i="1"/>
  <c r="N53" i="1"/>
  <c r="N54" i="1"/>
  <c r="N56" i="1"/>
  <c r="N57" i="1"/>
  <c r="N58" i="1"/>
  <c r="N59" i="1"/>
  <c r="N34" i="1"/>
  <c r="N32" i="1"/>
  <c r="N31" i="1"/>
  <c r="M56" i="1"/>
  <c r="M57" i="1"/>
  <c r="M58" i="1"/>
  <c r="M59" i="1"/>
  <c r="M60" i="1"/>
  <c r="P60" i="1" s="1"/>
  <c r="M61" i="1"/>
  <c r="M62" i="1"/>
  <c r="L55" i="1"/>
  <c r="L56" i="1"/>
  <c r="L57" i="1"/>
  <c r="L58" i="1"/>
  <c r="L59" i="1"/>
  <c r="L60" i="1"/>
  <c r="L61" i="1"/>
  <c r="L62" i="1"/>
  <c r="K54" i="1"/>
  <c r="K55" i="1"/>
  <c r="N55" i="1" s="1"/>
  <c r="K56" i="1"/>
  <c r="K57" i="1"/>
  <c r="K58" i="1"/>
  <c r="K59" i="1"/>
  <c r="K60" i="1"/>
  <c r="N60" i="1" s="1"/>
  <c r="K61" i="1"/>
  <c r="N61" i="1" s="1"/>
  <c r="K62" i="1"/>
  <c r="N62" i="1" s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P39" i="1" s="1"/>
  <c r="M40" i="1"/>
  <c r="M41" i="1"/>
  <c r="M42" i="1"/>
  <c r="P42" i="1" s="1"/>
  <c r="M43" i="1"/>
  <c r="K39" i="1"/>
  <c r="N39" i="1" s="1"/>
  <c r="L39" i="1"/>
  <c r="M44" i="1"/>
  <c r="M45" i="1"/>
  <c r="P45" i="1" s="1"/>
  <c r="M46" i="1"/>
  <c r="M47" i="1"/>
  <c r="M48" i="1"/>
  <c r="M49" i="1"/>
  <c r="M50" i="1"/>
  <c r="P50" i="1" s="1"/>
  <c r="M51" i="1"/>
  <c r="P51" i="1" s="1"/>
  <c r="M52" i="1"/>
  <c r="M53" i="1"/>
  <c r="M54" i="1"/>
  <c r="M55" i="1"/>
  <c r="P55" i="1" s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K41" i="1"/>
  <c r="N41" i="1" s="1"/>
  <c r="K42" i="1"/>
  <c r="N42" i="1" s="1"/>
  <c r="K43" i="1"/>
  <c r="K44" i="1"/>
  <c r="K45" i="1"/>
  <c r="K46" i="1"/>
  <c r="K47" i="1"/>
  <c r="K48" i="1"/>
  <c r="K49" i="1"/>
  <c r="K50" i="1"/>
  <c r="K51" i="1"/>
  <c r="K52" i="1"/>
  <c r="K53" i="1"/>
  <c r="L38" i="1"/>
  <c r="O38" i="1"/>
  <c r="K38" i="1"/>
  <c r="L32" i="1"/>
  <c r="O32" i="1" s="1"/>
  <c r="K32" i="1"/>
  <c r="L24" i="1"/>
  <c r="O24" i="1"/>
  <c r="K24" i="1"/>
  <c r="N24" i="1"/>
  <c r="L36" i="1"/>
  <c r="O36" i="1" s="1"/>
  <c r="L37" i="1"/>
  <c r="O37" i="1" s="1"/>
  <c r="L40" i="1"/>
  <c r="K36" i="1"/>
  <c r="N36" i="1" s="1"/>
  <c r="K37" i="1"/>
  <c r="K40" i="1"/>
  <c r="N40" i="1" s="1"/>
  <c r="L22" i="1"/>
  <c r="O22" i="1" s="1"/>
  <c r="L23" i="1"/>
  <c r="O23" i="1" s="1"/>
  <c r="L25" i="1"/>
  <c r="O25" i="1" s="1"/>
  <c r="L26" i="1"/>
  <c r="O26" i="1" s="1"/>
  <c r="L27" i="1"/>
  <c r="O27" i="1" s="1"/>
  <c r="L28" i="1"/>
  <c r="O28" i="1" s="1"/>
  <c r="L29" i="1"/>
  <c r="O29" i="1" s="1"/>
  <c r="L30" i="1"/>
  <c r="O30" i="1" s="1"/>
  <c r="L31" i="1"/>
  <c r="O31" i="1" s="1"/>
  <c r="L33" i="1"/>
  <c r="O33" i="1" s="1"/>
  <c r="L34" i="1"/>
  <c r="O34" i="1" s="1"/>
  <c r="L35" i="1"/>
  <c r="O35" i="1" s="1"/>
  <c r="K22" i="1"/>
  <c r="N22" i="1" s="1"/>
  <c r="K23" i="1"/>
  <c r="N23" i="1" s="1"/>
  <c r="K25" i="1"/>
  <c r="N25" i="1" s="1"/>
  <c r="K26" i="1"/>
  <c r="N26" i="1" s="1"/>
  <c r="K27" i="1"/>
  <c r="N27" i="1" s="1"/>
  <c r="K28" i="1"/>
  <c r="N28" i="1" s="1"/>
  <c r="K29" i="1"/>
  <c r="N29" i="1" s="1"/>
  <c r="K30" i="1"/>
  <c r="N30" i="1" s="1"/>
  <c r="K31" i="1"/>
  <c r="K33" i="1"/>
  <c r="N33" i="1" s="1"/>
  <c r="K34" i="1"/>
  <c r="K35" i="1"/>
  <c r="N35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K18" i="1"/>
  <c r="N18" i="1" s="1"/>
  <c r="K19" i="1"/>
  <c r="N19" i="1" s="1"/>
  <c r="K20" i="1"/>
  <c r="N20" i="1" s="1"/>
  <c r="K21" i="1"/>
  <c r="N21" i="1" s="1"/>
  <c r="L5" i="1"/>
  <c r="L6" i="1"/>
  <c r="L7" i="1"/>
  <c r="L8" i="1"/>
  <c r="L9" i="1"/>
  <c r="L10" i="1"/>
  <c r="O10" i="1" s="1"/>
  <c r="L11" i="1"/>
  <c r="O11" i="1" s="1"/>
  <c r="L12" i="1"/>
  <c r="O12" i="1" s="1"/>
  <c r="L13" i="1"/>
  <c r="O13" i="1" s="1"/>
  <c r="L14" i="1"/>
  <c r="O14" i="1" s="1"/>
  <c r="L15" i="1"/>
  <c r="O15" i="1" s="1"/>
  <c r="L16" i="1"/>
  <c r="O16" i="1" s="1"/>
  <c r="L17" i="1"/>
  <c r="O17" i="1" s="1"/>
  <c r="L18" i="1"/>
  <c r="O18" i="1" s="1"/>
  <c r="L19" i="1"/>
  <c r="O19" i="1" s="1"/>
  <c r="L20" i="1"/>
  <c r="O20" i="1" s="1"/>
  <c r="L21" i="1"/>
  <c r="O21" i="1" s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4" i="1"/>
  <c r="L4" i="1"/>
  <c r="K4" i="1"/>
  <c r="N4" i="1" s="1"/>
</calcChain>
</file>

<file path=xl/sharedStrings.xml><?xml version="1.0" encoding="utf-8"?>
<sst xmlns="http://schemas.openxmlformats.org/spreadsheetml/2006/main" count="84" uniqueCount="33">
  <si>
    <t>电阻</t>
    <phoneticPr fontId="1" type="noConversion"/>
  </si>
  <si>
    <t>纯电阻</t>
    <phoneticPr fontId="1" type="noConversion"/>
  </si>
  <si>
    <t>理论值</t>
    <phoneticPr fontId="1" type="noConversion"/>
  </si>
  <si>
    <t>测量值</t>
    <phoneticPr fontId="1" type="noConversion"/>
  </si>
  <si>
    <t>误差</t>
    <phoneticPr fontId="1" type="noConversion"/>
  </si>
  <si>
    <t>电阻Ω</t>
    <phoneticPr fontId="1" type="noConversion"/>
  </si>
  <si>
    <t>电感mH</t>
    <phoneticPr fontId="1" type="noConversion"/>
  </si>
  <si>
    <t>第一次</t>
    <phoneticPr fontId="1" type="noConversion"/>
  </si>
  <si>
    <t>第二次</t>
    <phoneticPr fontId="1" type="noConversion"/>
  </si>
  <si>
    <t>平均值</t>
    <phoneticPr fontId="1" type="noConversion"/>
  </si>
  <si>
    <t>电容</t>
    <phoneticPr fontId="1" type="noConversion"/>
  </si>
  <si>
    <t>电感</t>
    <phoneticPr fontId="1" type="noConversion"/>
  </si>
  <si>
    <t>RC串联</t>
    <phoneticPr fontId="1" type="noConversion"/>
  </si>
  <si>
    <t>电容nF</t>
    <phoneticPr fontId="1" type="noConversion"/>
  </si>
  <si>
    <t>备注</t>
    <phoneticPr fontId="1" type="noConversion"/>
  </si>
  <si>
    <t>第一个点为0无法判断，改为10Hz可判断计算</t>
    <phoneticPr fontId="1" type="noConversion"/>
  </si>
  <si>
    <t>20点</t>
    <phoneticPr fontId="1" type="noConversion"/>
  </si>
  <si>
    <t>RC并联</t>
    <phoneticPr fontId="1" type="noConversion"/>
  </si>
  <si>
    <t>第一个点改为0</t>
    <phoneticPr fontId="1" type="noConversion"/>
  </si>
  <si>
    <t>修改寻找目标增益最近函数，排除直流点可判断并正确计算</t>
    <phoneticPr fontId="1" type="noConversion"/>
  </si>
  <si>
    <t>增加dds频率变化延时可以测准增益</t>
    <phoneticPr fontId="1" type="noConversion"/>
  </si>
  <si>
    <t>RL串联</t>
    <phoneticPr fontId="1" type="noConversion"/>
  </si>
  <si>
    <t>电感等效内阻2.3</t>
    <phoneticPr fontId="1" type="noConversion"/>
  </si>
  <si>
    <t>电感等效内阻9</t>
    <phoneticPr fontId="1" type="noConversion"/>
  </si>
  <si>
    <t>电感等效内阻22</t>
    <phoneticPr fontId="1" type="noConversion"/>
  </si>
  <si>
    <t>RL并联</t>
    <phoneticPr fontId="1" type="noConversion"/>
  </si>
  <si>
    <t>电感等效内阻19.5</t>
    <phoneticPr fontId="1" type="noConversion"/>
  </si>
  <si>
    <t>电感等效内阻2.3,黑箱内电阻阻值小时测量不准确，小电阻阈值51Ω</t>
    <phoneticPr fontId="1" type="noConversion"/>
  </si>
  <si>
    <t>电阻/ESR</t>
    <phoneticPr fontId="1" type="noConversion"/>
  </si>
  <si>
    <t>KΩ</t>
    <phoneticPr fontId="1" type="noConversion"/>
  </si>
  <si>
    <t>电阻Ω/ESR</t>
    <phoneticPr fontId="1" type="noConversion"/>
  </si>
  <si>
    <t>电容 串联22Ω</t>
    <phoneticPr fontId="1" type="noConversion"/>
  </si>
  <si>
    <t>uF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</si>
</sst>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00B0F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/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0" fontId="5" fillId="0" borderId="11" xfId="0" applyNumberFormat="1" applyFont="1" applyBorder="1" applyAlignment="1">
      <alignment horizontal="center"/>
    </xf>
    <xf numFmtId="10" fontId="5" fillId="0" borderId="7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10" fontId="5" fillId="0" borderId="15" xfId="0" applyNumberFormat="1" applyFont="1" applyBorder="1" applyAlignment="1">
      <alignment horizontal="center"/>
    </xf>
    <xf numFmtId="10" fontId="5" fillId="0" borderId="17" xfId="0" applyNumberFormat="1" applyFont="1" applyBorder="1" applyAlignment="1">
      <alignment horizontal="center"/>
    </xf>
    <xf numFmtId="10" fontId="5" fillId="0" borderId="18" xfId="0" applyNumberFormat="1" applyFont="1" applyBorder="1" applyAlignment="1">
      <alignment horizontal="center"/>
    </xf>
    <xf numFmtId="10" fontId="5" fillId="0" borderId="12" xfId="0" applyNumberFormat="1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/>
    <xf numFmtId="0" fontId="0" fillId="0" borderId="17" xfId="0" applyBorder="1" applyAlignment="1">
      <alignment horizontal="center" vertical="center"/>
    </xf>
    <xf numFmtId="0" fontId="0" fillId="0" borderId="7" xfId="0" applyBorder="1" applyAlignment="1"/>
    <xf numFmtId="10" fontId="0" fillId="0" borderId="8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4" fillId="0" borderId="1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10" fontId="5" fillId="0" borderId="14" xfId="0" applyNumberFormat="1" applyFont="1" applyBorder="1" applyAlignment="1">
      <alignment horizontal="center"/>
    </xf>
    <xf numFmtId="10" fontId="7" fillId="0" borderId="17" xfId="0" applyNumberFormat="1" applyFont="1" applyBorder="1" applyAlignment="1">
      <alignment horizontal="center"/>
    </xf>
    <xf numFmtId="10" fontId="7" fillId="0" borderId="13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0" fontId="7" fillId="0" borderId="15" xfId="0" applyNumberFormat="1" applyFont="1" applyBorder="1" applyAlignment="1">
      <alignment horizontal="center"/>
    </xf>
    <xf numFmtId="10" fontId="7" fillId="0" borderId="11" xfId="0" applyNumberFormat="1" applyFont="1" applyBorder="1" applyAlignment="1">
      <alignment horizontal="center"/>
    </xf>
    <xf numFmtId="10" fontId="7" fillId="0" borderId="12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opLeftCell="A25" workbookViewId="0">
      <selection activeCell="Q40" sqref="Q40"/>
    </sheetView>
  </sheetViews>
  <sheetFormatPr defaultRowHeight="14" x14ac:dyDescent="0.3"/>
  <cols>
    <col min="1" max="13" width="8.6640625" style="1"/>
    <col min="14" max="14" width="8.6640625" style="41"/>
    <col min="15" max="16" width="8.6640625" style="1"/>
    <col min="17" max="17" width="58.4140625" style="41" bestFit="1" customWidth="1"/>
    <col min="18" max="18" width="8.6640625" style="41"/>
    <col min="19" max="16384" width="8.6640625" style="1"/>
  </cols>
  <sheetData>
    <row r="1" spans="1:18" s="10" customFormat="1" x14ac:dyDescent="0.3">
      <c r="A1" s="11"/>
      <c r="B1" s="60" t="s">
        <v>2</v>
      </c>
      <c r="C1" s="28"/>
      <c r="D1" s="61"/>
      <c r="E1" s="60" t="s">
        <v>3</v>
      </c>
      <c r="F1" s="28"/>
      <c r="G1" s="28"/>
      <c r="H1" s="28"/>
      <c r="I1" s="28"/>
      <c r="J1" s="61"/>
      <c r="K1" s="60" t="s">
        <v>9</v>
      </c>
      <c r="L1" s="28"/>
      <c r="M1" s="61"/>
      <c r="N1" s="60" t="s">
        <v>4</v>
      </c>
      <c r="O1" s="28"/>
      <c r="P1" s="61"/>
      <c r="Q1" s="141" t="s">
        <v>14</v>
      </c>
      <c r="R1" s="147"/>
    </row>
    <row r="2" spans="1:18" x14ac:dyDescent="0.3">
      <c r="A2" s="11"/>
      <c r="B2" s="99" t="s">
        <v>5</v>
      </c>
      <c r="C2" s="6" t="s">
        <v>13</v>
      </c>
      <c r="D2" s="110" t="s">
        <v>6</v>
      </c>
      <c r="E2" s="128" t="s">
        <v>0</v>
      </c>
      <c r="F2" s="2"/>
      <c r="G2" s="2" t="s">
        <v>10</v>
      </c>
      <c r="H2" s="2"/>
      <c r="I2" s="2" t="s">
        <v>11</v>
      </c>
      <c r="J2" s="129"/>
      <c r="K2" s="99" t="s">
        <v>0</v>
      </c>
      <c r="L2" s="6" t="s">
        <v>10</v>
      </c>
      <c r="M2" s="110" t="s">
        <v>11</v>
      </c>
      <c r="N2" s="113" t="s">
        <v>0</v>
      </c>
      <c r="O2" s="6" t="s">
        <v>10</v>
      </c>
      <c r="P2" s="110" t="s">
        <v>11</v>
      </c>
      <c r="Q2" s="142"/>
      <c r="R2" s="49"/>
    </row>
    <row r="3" spans="1:18" ht="14.5" thickBot="1" x14ac:dyDescent="0.35">
      <c r="A3" s="94"/>
      <c r="B3" s="62"/>
      <c r="C3" s="13"/>
      <c r="D3" s="63"/>
      <c r="E3" s="65" t="s">
        <v>7</v>
      </c>
      <c r="F3" s="21" t="s">
        <v>8</v>
      </c>
      <c r="G3" s="21" t="s">
        <v>7</v>
      </c>
      <c r="H3" s="21" t="s">
        <v>8</v>
      </c>
      <c r="I3" s="21" t="s">
        <v>7</v>
      </c>
      <c r="J3" s="39" t="s">
        <v>8</v>
      </c>
      <c r="K3" s="62"/>
      <c r="L3" s="13"/>
      <c r="M3" s="63"/>
      <c r="N3" s="78"/>
      <c r="O3" s="13"/>
      <c r="P3" s="63"/>
      <c r="Q3" s="143"/>
      <c r="R3" s="49"/>
    </row>
    <row r="4" spans="1:18" x14ac:dyDescent="0.3">
      <c r="A4" s="75" t="s">
        <v>1</v>
      </c>
      <c r="B4" s="64">
        <v>1000</v>
      </c>
      <c r="C4" s="98"/>
      <c r="D4" s="124"/>
      <c r="E4" s="64">
        <v>994.4</v>
      </c>
      <c r="F4" s="14">
        <v>998.2</v>
      </c>
      <c r="G4" s="98"/>
      <c r="H4" s="98"/>
      <c r="I4" s="98"/>
      <c r="J4" s="124"/>
      <c r="K4" s="64">
        <f>(E4+F4)/2</f>
        <v>996.3</v>
      </c>
      <c r="L4" s="14">
        <f>(G4+H4)/2</f>
        <v>0</v>
      </c>
      <c r="M4" s="22">
        <f>(I4+J4)/2</f>
        <v>0</v>
      </c>
      <c r="N4" s="79">
        <f>(ABS(K4-B4))/B4</f>
        <v>3.7000000000000453E-3</v>
      </c>
      <c r="O4" s="15"/>
      <c r="P4" s="22"/>
      <c r="Q4" s="144"/>
      <c r="R4" s="49"/>
    </row>
    <row r="5" spans="1:18" x14ac:dyDescent="0.3">
      <c r="A5" s="83"/>
      <c r="B5" s="31">
        <v>20000</v>
      </c>
      <c r="C5" s="4"/>
      <c r="D5" s="125"/>
      <c r="E5" s="31">
        <v>19871</v>
      </c>
      <c r="F5" s="1">
        <v>19895</v>
      </c>
      <c r="G5" s="4"/>
      <c r="H5" s="4"/>
      <c r="I5" s="4"/>
      <c r="J5" s="125"/>
      <c r="K5" s="31">
        <f t="shared" ref="K5:K68" si="0">(E5+F5)/2</f>
        <v>19883</v>
      </c>
      <c r="L5" s="1">
        <f t="shared" ref="L5:L68" si="1">(G5+H5)/2</f>
        <v>0</v>
      </c>
      <c r="M5" s="23">
        <f t="shared" ref="M5:M68" si="2">(I5+J5)/2</f>
        <v>0</v>
      </c>
      <c r="N5" s="80">
        <f t="shared" ref="N5:N68" si="3">(ABS(K5-B5))/B5</f>
        <v>5.8500000000000002E-3</v>
      </c>
      <c r="O5" s="5"/>
      <c r="P5" s="23"/>
      <c r="Q5" s="142"/>
      <c r="R5" s="49"/>
    </row>
    <row r="6" spans="1:18" x14ac:dyDescent="0.3">
      <c r="A6" s="83"/>
      <c r="B6" s="31">
        <v>500</v>
      </c>
      <c r="C6" s="4"/>
      <c r="D6" s="125"/>
      <c r="E6" s="31">
        <v>499.8</v>
      </c>
      <c r="F6" s="1">
        <v>499.4</v>
      </c>
      <c r="G6" s="4"/>
      <c r="H6" s="4"/>
      <c r="I6" s="4"/>
      <c r="J6" s="125"/>
      <c r="K6" s="31">
        <f t="shared" si="0"/>
        <v>499.6</v>
      </c>
      <c r="L6" s="1">
        <f t="shared" si="1"/>
        <v>0</v>
      </c>
      <c r="M6" s="23">
        <f t="shared" si="2"/>
        <v>0</v>
      </c>
      <c r="N6" s="80">
        <f t="shared" si="3"/>
        <v>7.999999999999545E-4</v>
      </c>
      <c r="O6" s="5"/>
      <c r="P6" s="23"/>
      <c r="Q6" s="142"/>
      <c r="R6" s="49"/>
    </row>
    <row r="7" spans="1:18" x14ac:dyDescent="0.3">
      <c r="A7" s="83"/>
      <c r="B7" s="31">
        <v>5100</v>
      </c>
      <c r="C7" s="4"/>
      <c r="D7" s="125"/>
      <c r="E7" s="31">
        <v>5145.3999999999996</v>
      </c>
      <c r="F7" s="1">
        <v>5147.5</v>
      </c>
      <c r="G7" s="4"/>
      <c r="H7" s="4"/>
      <c r="I7" s="4"/>
      <c r="J7" s="125"/>
      <c r="K7" s="31">
        <f t="shared" si="0"/>
        <v>5146.45</v>
      </c>
      <c r="L7" s="1">
        <f t="shared" si="1"/>
        <v>0</v>
      </c>
      <c r="M7" s="23">
        <f t="shared" si="2"/>
        <v>0</v>
      </c>
      <c r="N7" s="80">
        <f t="shared" si="3"/>
        <v>9.1078431372548663E-3</v>
      </c>
      <c r="O7" s="5"/>
      <c r="P7" s="23"/>
      <c r="Q7" s="142"/>
      <c r="R7" s="49"/>
    </row>
    <row r="8" spans="1:18" x14ac:dyDescent="0.3">
      <c r="A8" s="83"/>
      <c r="B8" s="31">
        <v>10000</v>
      </c>
      <c r="C8" s="4"/>
      <c r="D8" s="125"/>
      <c r="E8" s="31">
        <v>10057.6</v>
      </c>
      <c r="F8" s="1">
        <v>10086.299999999999</v>
      </c>
      <c r="G8" s="4"/>
      <c r="H8" s="4"/>
      <c r="I8" s="4"/>
      <c r="J8" s="125"/>
      <c r="K8" s="31">
        <f t="shared" si="0"/>
        <v>10071.950000000001</v>
      </c>
      <c r="L8" s="1">
        <f t="shared" si="1"/>
        <v>0</v>
      </c>
      <c r="M8" s="23">
        <f t="shared" si="2"/>
        <v>0</v>
      </c>
      <c r="N8" s="80">
        <f t="shared" si="3"/>
        <v>7.1950000000000729E-3</v>
      </c>
      <c r="O8" s="5"/>
      <c r="P8" s="23"/>
      <c r="Q8" s="142"/>
      <c r="R8" s="49"/>
    </row>
    <row r="9" spans="1:18" ht="14.5" thickBot="1" x14ac:dyDescent="0.35">
      <c r="A9" s="107"/>
      <c r="B9" s="32">
        <v>14700</v>
      </c>
      <c r="C9" s="100"/>
      <c r="D9" s="126"/>
      <c r="E9" s="32">
        <v>14611.2</v>
      </c>
      <c r="F9" s="8">
        <v>14620.5</v>
      </c>
      <c r="G9" s="100"/>
      <c r="H9" s="100"/>
      <c r="I9" s="100"/>
      <c r="J9" s="126"/>
      <c r="K9" s="32">
        <f t="shared" si="0"/>
        <v>14615.85</v>
      </c>
      <c r="L9" s="8">
        <f t="shared" si="1"/>
        <v>0</v>
      </c>
      <c r="M9" s="24">
        <f t="shared" si="2"/>
        <v>0</v>
      </c>
      <c r="N9" s="81">
        <f t="shared" si="3"/>
        <v>5.7244897959183427E-3</v>
      </c>
      <c r="O9" s="9"/>
      <c r="P9" s="24"/>
      <c r="Q9" s="145"/>
      <c r="R9" s="49"/>
    </row>
    <row r="10" spans="1:18" x14ac:dyDescent="0.3">
      <c r="A10" s="75" t="s">
        <v>12</v>
      </c>
      <c r="B10" s="64">
        <v>1000</v>
      </c>
      <c r="C10" s="14">
        <v>100</v>
      </c>
      <c r="D10" s="124"/>
      <c r="E10" s="64">
        <v>1158.9000000000001</v>
      </c>
      <c r="F10" s="14">
        <v>1084.2</v>
      </c>
      <c r="G10" s="14">
        <v>80.040000000000006</v>
      </c>
      <c r="H10" s="14">
        <v>101.35</v>
      </c>
      <c r="I10" s="98"/>
      <c r="J10" s="124"/>
      <c r="K10" s="64">
        <f t="shared" si="0"/>
        <v>1121.5500000000002</v>
      </c>
      <c r="L10" s="14">
        <f t="shared" si="1"/>
        <v>90.694999999999993</v>
      </c>
      <c r="M10" s="22">
        <f t="shared" si="2"/>
        <v>0</v>
      </c>
      <c r="N10" s="79">
        <f t="shared" si="3"/>
        <v>0.12155000000000019</v>
      </c>
      <c r="O10" s="15">
        <f t="shared" ref="O5:O68" si="4">(ABS(L10-C10))/C10</f>
        <v>9.3050000000000063E-2</v>
      </c>
      <c r="P10" s="22"/>
      <c r="Q10" s="144" t="s">
        <v>16</v>
      </c>
      <c r="R10" s="49"/>
    </row>
    <row r="11" spans="1:18" x14ac:dyDescent="0.3">
      <c r="A11" s="83"/>
      <c r="B11" s="31">
        <v>1000</v>
      </c>
      <c r="C11" s="1">
        <v>220</v>
      </c>
      <c r="D11" s="125"/>
      <c r="E11" s="31">
        <v>1081.9000000000001</v>
      </c>
      <c r="F11" s="1">
        <v>1086.7</v>
      </c>
      <c r="G11" s="1">
        <v>212.66</v>
      </c>
      <c r="H11" s="1">
        <v>211.99</v>
      </c>
      <c r="I11" s="4"/>
      <c r="J11" s="125"/>
      <c r="K11" s="31">
        <f t="shared" si="0"/>
        <v>1084.3000000000002</v>
      </c>
      <c r="L11" s="1">
        <f t="shared" si="1"/>
        <v>212.32499999999999</v>
      </c>
      <c r="M11" s="23">
        <f t="shared" si="2"/>
        <v>0</v>
      </c>
      <c r="N11" s="80">
        <f t="shared" si="3"/>
        <v>8.430000000000018E-2</v>
      </c>
      <c r="O11" s="5">
        <f t="shared" si="4"/>
        <v>3.4886363636363688E-2</v>
      </c>
      <c r="P11" s="23"/>
      <c r="Q11" s="143"/>
      <c r="R11" s="49"/>
    </row>
    <row r="12" spans="1:18" x14ac:dyDescent="0.3">
      <c r="A12" s="83"/>
      <c r="B12" s="31">
        <v>1000</v>
      </c>
      <c r="C12" s="1">
        <v>470</v>
      </c>
      <c r="D12" s="125"/>
      <c r="E12" s="31">
        <v>1084.5999999999999</v>
      </c>
      <c r="F12" s="1">
        <v>1085.5999999999999</v>
      </c>
      <c r="G12" s="1">
        <v>443.8</v>
      </c>
      <c r="H12" s="1">
        <v>444.7</v>
      </c>
      <c r="I12" s="4"/>
      <c r="J12" s="125"/>
      <c r="K12" s="31">
        <f t="shared" si="0"/>
        <v>1085.0999999999999</v>
      </c>
      <c r="L12" s="1">
        <f t="shared" si="1"/>
        <v>444.25</v>
      </c>
      <c r="M12" s="23">
        <f t="shared" si="2"/>
        <v>0</v>
      </c>
      <c r="N12" s="80">
        <f t="shared" si="3"/>
        <v>8.5099999999999912E-2</v>
      </c>
      <c r="O12" s="5">
        <f t="shared" si="4"/>
        <v>5.4787234042553194E-2</v>
      </c>
      <c r="P12" s="23"/>
      <c r="Q12" s="142"/>
      <c r="R12" s="49"/>
    </row>
    <row r="13" spans="1:18" x14ac:dyDescent="0.3">
      <c r="A13" s="83"/>
      <c r="B13" s="31">
        <v>1000</v>
      </c>
      <c r="C13" s="1">
        <v>1000</v>
      </c>
      <c r="D13" s="125"/>
      <c r="E13" s="31">
        <v>1088</v>
      </c>
      <c r="F13" s="1">
        <v>1080.3</v>
      </c>
      <c r="G13" s="1">
        <v>1009.17</v>
      </c>
      <c r="H13" s="1">
        <v>973.7</v>
      </c>
      <c r="I13" s="4"/>
      <c r="J13" s="125"/>
      <c r="K13" s="31">
        <f t="shared" si="0"/>
        <v>1084.1500000000001</v>
      </c>
      <c r="L13" s="1">
        <f t="shared" si="1"/>
        <v>991.43499999999995</v>
      </c>
      <c r="M13" s="23">
        <f t="shared" si="2"/>
        <v>0</v>
      </c>
      <c r="N13" s="80">
        <f t="shared" si="3"/>
        <v>8.4150000000000086E-2</v>
      </c>
      <c r="O13" s="5">
        <f t="shared" si="4"/>
        <v>8.5650000000000552E-3</v>
      </c>
      <c r="P13" s="23"/>
      <c r="Q13" s="146"/>
      <c r="R13" s="49"/>
    </row>
    <row r="14" spans="1:18" x14ac:dyDescent="0.3">
      <c r="A14" s="83"/>
      <c r="B14" s="31">
        <v>5100</v>
      </c>
      <c r="C14" s="1">
        <v>100</v>
      </c>
      <c r="D14" s="125"/>
      <c r="E14" s="31">
        <v>5353.5</v>
      </c>
      <c r="F14" s="1">
        <v>5334.2</v>
      </c>
      <c r="G14" s="1">
        <v>102.55</v>
      </c>
      <c r="H14" s="1">
        <v>100.22</v>
      </c>
      <c r="I14" s="4"/>
      <c r="J14" s="125"/>
      <c r="K14" s="31">
        <f t="shared" si="0"/>
        <v>5343.85</v>
      </c>
      <c r="L14" s="1">
        <f t="shared" si="1"/>
        <v>101.38499999999999</v>
      </c>
      <c r="M14" s="23">
        <f t="shared" si="2"/>
        <v>0</v>
      </c>
      <c r="N14" s="80">
        <f t="shared" si="3"/>
        <v>4.7813725490196149E-2</v>
      </c>
      <c r="O14" s="5">
        <f t="shared" si="4"/>
        <v>1.3849999999999909E-2</v>
      </c>
      <c r="P14" s="23"/>
      <c r="Q14" s="142"/>
      <c r="R14" s="49"/>
    </row>
    <row r="15" spans="1:18" x14ac:dyDescent="0.3">
      <c r="A15" s="83"/>
      <c r="B15" s="31">
        <v>5100</v>
      </c>
      <c r="C15" s="1">
        <v>220</v>
      </c>
      <c r="D15" s="125"/>
      <c r="E15" s="31">
        <v>5307</v>
      </c>
      <c r="F15" s="1">
        <v>5299.6</v>
      </c>
      <c r="G15" s="1">
        <v>212.63</v>
      </c>
      <c r="H15" s="1">
        <v>218.19</v>
      </c>
      <c r="I15" s="4"/>
      <c r="J15" s="125"/>
      <c r="K15" s="31">
        <f t="shared" si="0"/>
        <v>5303.3</v>
      </c>
      <c r="L15" s="1">
        <f t="shared" si="1"/>
        <v>215.41</v>
      </c>
      <c r="M15" s="23">
        <f t="shared" si="2"/>
        <v>0</v>
      </c>
      <c r="N15" s="80">
        <f t="shared" si="3"/>
        <v>3.9862745098039248E-2</v>
      </c>
      <c r="O15" s="5">
        <f t="shared" si="4"/>
        <v>2.0863636363636379E-2</v>
      </c>
      <c r="P15" s="23"/>
      <c r="Q15" s="142"/>
      <c r="R15" s="49"/>
    </row>
    <row r="16" spans="1:18" x14ac:dyDescent="0.3">
      <c r="A16" s="83"/>
      <c r="B16" s="31">
        <v>5100</v>
      </c>
      <c r="C16" s="1">
        <v>470</v>
      </c>
      <c r="D16" s="125"/>
      <c r="E16" s="31">
        <v>5328.3</v>
      </c>
      <c r="F16" s="1">
        <v>5320.4</v>
      </c>
      <c r="G16" s="1">
        <v>500.75</v>
      </c>
      <c r="H16" s="1">
        <v>506.09</v>
      </c>
      <c r="I16" s="4"/>
      <c r="J16" s="125"/>
      <c r="K16" s="31">
        <f t="shared" si="0"/>
        <v>5324.35</v>
      </c>
      <c r="L16" s="1">
        <f t="shared" si="1"/>
        <v>503.41999999999996</v>
      </c>
      <c r="M16" s="23">
        <f t="shared" si="2"/>
        <v>0</v>
      </c>
      <c r="N16" s="80">
        <f t="shared" si="3"/>
        <v>4.3990196078431444E-2</v>
      </c>
      <c r="O16" s="5">
        <f t="shared" si="4"/>
        <v>7.110638297872332E-2</v>
      </c>
      <c r="P16" s="23"/>
      <c r="Q16" s="142"/>
      <c r="R16" s="49"/>
    </row>
    <row r="17" spans="1:18" x14ac:dyDescent="0.3">
      <c r="A17" s="83"/>
      <c r="B17" s="31">
        <v>5100</v>
      </c>
      <c r="C17" s="1">
        <v>1000</v>
      </c>
      <c r="D17" s="125"/>
      <c r="E17" s="31">
        <v>5275</v>
      </c>
      <c r="F17" s="1">
        <v>5321</v>
      </c>
      <c r="G17" s="1">
        <v>1130.7</v>
      </c>
      <c r="H17" s="1">
        <v>1132.77</v>
      </c>
      <c r="I17" s="4"/>
      <c r="J17" s="125"/>
      <c r="K17" s="31">
        <f t="shared" si="0"/>
        <v>5298</v>
      </c>
      <c r="L17" s="1">
        <f t="shared" si="1"/>
        <v>1131.7350000000001</v>
      </c>
      <c r="M17" s="23">
        <f t="shared" si="2"/>
        <v>0</v>
      </c>
      <c r="N17" s="80">
        <f t="shared" si="3"/>
        <v>3.8823529411764708E-2</v>
      </c>
      <c r="O17" s="5">
        <f t="shared" si="4"/>
        <v>0.13173500000000013</v>
      </c>
      <c r="P17" s="23"/>
      <c r="Q17" s="142"/>
      <c r="R17" s="49"/>
    </row>
    <row r="18" spans="1:18" x14ac:dyDescent="0.3">
      <c r="A18" s="83"/>
      <c r="B18" s="31">
        <v>10000</v>
      </c>
      <c r="C18" s="1">
        <v>100</v>
      </c>
      <c r="D18" s="125"/>
      <c r="E18" s="31">
        <v>9671</v>
      </c>
      <c r="F18" s="1">
        <v>9715.1</v>
      </c>
      <c r="G18" s="1">
        <v>103.73</v>
      </c>
      <c r="H18" s="1">
        <v>102.24</v>
      </c>
      <c r="I18" s="4"/>
      <c r="J18" s="125"/>
      <c r="K18" s="31">
        <f t="shared" si="0"/>
        <v>9693.0499999999993</v>
      </c>
      <c r="L18" s="1">
        <f t="shared" si="1"/>
        <v>102.985</v>
      </c>
      <c r="M18" s="23">
        <f t="shared" si="2"/>
        <v>0</v>
      </c>
      <c r="N18" s="80">
        <f t="shared" si="3"/>
        <v>3.0695000000000073E-2</v>
      </c>
      <c r="O18" s="5">
        <f t="shared" si="4"/>
        <v>2.9849999999999995E-2</v>
      </c>
      <c r="P18" s="23"/>
      <c r="Q18" s="142"/>
      <c r="R18" s="49"/>
    </row>
    <row r="19" spans="1:18" x14ac:dyDescent="0.3">
      <c r="A19" s="83"/>
      <c r="B19" s="31">
        <v>10000</v>
      </c>
      <c r="C19" s="1">
        <v>220</v>
      </c>
      <c r="D19" s="125"/>
      <c r="E19" s="31">
        <v>9641.2999999999993</v>
      </c>
      <c r="F19" s="1">
        <v>9677.6</v>
      </c>
      <c r="G19" s="1">
        <v>210.91</v>
      </c>
      <c r="H19" s="1">
        <v>211.09</v>
      </c>
      <c r="I19" s="4"/>
      <c r="J19" s="125"/>
      <c r="K19" s="31">
        <f t="shared" si="0"/>
        <v>9659.4500000000007</v>
      </c>
      <c r="L19" s="1">
        <f t="shared" si="1"/>
        <v>211</v>
      </c>
      <c r="M19" s="23">
        <f t="shared" si="2"/>
        <v>0</v>
      </c>
      <c r="N19" s="80">
        <f t="shared" si="3"/>
        <v>3.4054999999999926E-2</v>
      </c>
      <c r="O19" s="5">
        <f t="shared" si="4"/>
        <v>4.0909090909090909E-2</v>
      </c>
      <c r="P19" s="23"/>
      <c r="Q19" s="142" t="s">
        <v>15</v>
      </c>
      <c r="R19" s="49"/>
    </row>
    <row r="20" spans="1:18" x14ac:dyDescent="0.3">
      <c r="A20" s="83"/>
      <c r="B20" s="31">
        <v>10000</v>
      </c>
      <c r="C20" s="1">
        <v>470</v>
      </c>
      <c r="D20" s="125"/>
      <c r="E20" s="31">
        <v>9630.5</v>
      </c>
      <c r="F20" s="1">
        <v>9704.7999999999993</v>
      </c>
      <c r="G20" s="1">
        <v>433.57</v>
      </c>
      <c r="H20" s="1">
        <v>424.4</v>
      </c>
      <c r="I20" s="4"/>
      <c r="J20" s="125"/>
      <c r="K20" s="31">
        <f t="shared" si="0"/>
        <v>9667.65</v>
      </c>
      <c r="L20" s="1">
        <f t="shared" si="1"/>
        <v>428.98500000000001</v>
      </c>
      <c r="M20" s="23">
        <f t="shared" si="2"/>
        <v>0</v>
      </c>
      <c r="N20" s="80">
        <f t="shared" si="3"/>
        <v>3.3235000000000035E-2</v>
      </c>
      <c r="O20" s="5">
        <f t="shared" si="4"/>
        <v>8.7265957446808484E-2</v>
      </c>
      <c r="P20" s="23"/>
      <c r="Q20" s="142" t="s">
        <v>19</v>
      </c>
      <c r="R20" s="49"/>
    </row>
    <row r="21" spans="1:18" ht="14.5" thickBot="1" x14ac:dyDescent="0.35">
      <c r="A21" s="107"/>
      <c r="B21" s="32">
        <v>10000</v>
      </c>
      <c r="C21" s="8">
        <v>1000</v>
      </c>
      <c r="D21" s="126"/>
      <c r="E21" s="32">
        <v>9651.4</v>
      </c>
      <c r="F21" s="8">
        <v>9601.4</v>
      </c>
      <c r="G21" s="8">
        <v>1100.8599999999999</v>
      </c>
      <c r="H21" s="8">
        <v>1016.16</v>
      </c>
      <c r="I21" s="100"/>
      <c r="J21" s="126"/>
      <c r="K21" s="32">
        <f t="shared" si="0"/>
        <v>9626.4</v>
      </c>
      <c r="L21" s="8">
        <f t="shared" si="1"/>
        <v>1058.51</v>
      </c>
      <c r="M21" s="24">
        <f t="shared" si="2"/>
        <v>0</v>
      </c>
      <c r="N21" s="81">
        <f t="shared" si="3"/>
        <v>3.7360000000000039E-2</v>
      </c>
      <c r="O21" s="9">
        <f t="shared" si="4"/>
        <v>5.8509999999999993E-2</v>
      </c>
      <c r="P21" s="24"/>
      <c r="Q21" s="145"/>
      <c r="R21" s="49"/>
    </row>
    <row r="22" spans="1:18" x14ac:dyDescent="0.3">
      <c r="A22" s="118" t="s">
        <v>17</v>
      </c>
      <c r="B22" s="64">
        <v>1000</v>
      </c>
      <c r="C22" s="14">
        <v>100</v>
      </c>
      <c r="D22" s="22"/>
      <c r="E22" s="64">
        <v>1017.5</v>
      </c>
      <c r="F22" s="14">
        <v>1016.8</v>
      </c>
      <c r="G22" s="14">
        <v>101.94</v>
      </c>
      <c r="H22" s="14">
        <v>103.65</v>
      </c>
      <c r="I22" s="14"/>
      <c r="J22" s="22"/>
      <c r="K22" s="64">
        <f t="shared" si="0"/>
        <v>1017.15</v>
      </c>
      <c r="L22" s="14">
        <f t="shared" si="1"/>
        <v>102.795</v>
      </c>
      <c r="M22" s="22">
        <f t="shared" si="2"/>
        <v>0</v>
      </c>
      <c r="N22" s="79">
        <f t="shared" si="3"/>
        <v>1.7149999999999978E-2</v>
      </c>
      <c r="O22" s="15">
        <f t="shared" si="4"/>
        <v>2.7950000000000016E-2</v>
      </c>
      <c r="P22" s="22"/>
      <c r="Q22" s="144"/>
      <c r="R22" s="49"/>
    </row>
    <row r="23" spans="1:18" s="16" customFormat="1" x14ac:dyDescent="0.3">
      <c r="A23" s="119"/>
      <c r="B23" s="66">
        <v>1000</v>
      </c>
      <c r="C23" s="16">
        <v>220</v>
      </c>
      <c r="D23" s="25"/>
      <c r="E23" s="66">
        <v>1017.3</v>
      </c>
      <c r="F23" s="16">
        <v>1017</v>
      </c>
      <c r="G23" s="16">
        <v>159.77000000000001</v>
      </c>
      <c r="H23" s="16">
        <v>159.94</v>
      </c>
      <c r="J23" s="25"/>
      <c r="K23" s="66">
        <f t="shared" si="0"/>
        <v>1017.15</v>
      </c>
      <c r="L23" s="16">
        <f t="shared" si="1"/>
        <v>159.85500000000002</v>
      </c>
      <c r="M23" s="25">
        <f t="shared" si="2"/>
        <v>0</v>
      </c>
      <c r="N23" s="80">
        <f t="shared" si="3"/>
        <v>1.7149999999999978E-2</v>
      </c>
      <c r="O23" s="17">
        <f t="shared" si="4"/>
        <v>0.27338636363636354</v>
      </c>
      <c r="P23" s="25"/>
      <c r="Q23" s="142"/>
      <c r="R23" s="49"/>
    </row>
    <row r="24" spans="1:18" s="35" customFormat="1" x14ac:dyDescent="0.3">
      <c r="A24" s="119"/>
      <c r="B24" s="67">
        <v>1000</v>
      </c>
      <c r="C24" s="35">
        <v>220</v>
      </c>
      <c r="D24" s="37"/>
      <c r="E24" s="67">
        <v>1011.2</v>
      </c>
      <c r="F24" s="35">
        <v>1010.4</v>
      </c>
      <c r="G24" s="35">
        <v>208.78</v>
      </c>
      <c r="H24" s="35">
        <v>209</v>
      </c>
      <c r="J24" s="37"/>
      <c r="K24" s="67">
        <f t="shared" si="0"/>
        <v>1010.8</v>
      </c>
      <c r="L24" s="35">
        <f t="shared" si="1"/>
        <v>208.89</v>
      </c>
      <c r="M24" s="37">
        <f t="shared" si="2"/>
        <v>0</v>
      </c>
      <c r="N24" s="80">
        <f t="shared" si="3"/>
        <v>1.0799999999999954E-2</v>
      </c>
      <c r="O24" s="36">
        <f t="shared" si="4"/>
        <v>5.0500000000000059E-2</v>
      </c>
      <c r="P24" s="37"/>
      <c r="Q24" s="142"/>
      <c r="R24" s="49"/>
    </row>
    <row r="25" spans="1:18" x14ac:dyDescent="0.3">
      <c r="A25" s="119"/>
      <c r="B25" s="31">
        <v>1000</v>
      </c>
      <c r="C25" s="1">
        <v>470</v>
      </c>
      <c r="D25" s="23"/>
      <c r="E25" s="31">
        <v>1012.1</v>
      </c>
      <c r="F25" s="1">
        <v>1012.7</v>
      </c>
      <c r="G25" s="1">
        <v>438.19</v>
      </c>
      <c r="H25" s="1">
        <v>437.59</v>
      </c>
      <c r="J25" s="23"/>
      <c r="K25" s="31">
        <f t="shared" si="0"/>
        <v>1012.4000000000001</v>
      </c>
      <c r="L25" s="1">
        <f t="shared" si="1"/>
        <v>437.89</v>
      </c>
      <c r="M25" s="23">
        <f t="shared" si="2"/>
        <v>0</v>
      </c>
      <c r="N25" s="80">
        <f t="shared" si="3"/>
        <v>1.2400000000000092E-2</v>
      </c>
      <c r="O25" s="5">
        <f t="shared" si="4"/>
        <v>6.8319148936170249E-2</v>
      </c>
      <c r="P25" s="23"/>
      <c r="Q25" s="142"/>
      <c r="R25" s="49"/>
    </row>
    <row r="26" spans="1:18" x14ac:dyDescent="0.3">
      <c r="A26" s="119"/>
      <c r="B26" s="31">
        <v>1000</v>
      </c>
      <c r="C26" s="1">
        <v>1000</v>
      </c>
      <c r="D26" s="23"/>
      <c r="E26" s="31">
        <v>1019.4</v>
      </c>
      <c r="F26" s="1">
        <v>1016.6</v>
      </c>
      <c r="G26" s="1">
        <v>957.32</v>
      </c>
      <c r="H26" s="1">
        <v>963.27</v>
      </c>
      <c r="J26" s="23"/>
      <c r="K26" s="31">
        <f t="shared" si="0"/>
        <v>1018</v>
      </c>
      <c r="L26" s="1">
        <f t="shared" si="1"/>
        <v>960.29500000000007</v>
      </c>
      <c r="M26" s="23">
        <f t="shared" si="2"/>
        <v>0</v>
      </c>
      <c r="N26" s="80">
        <f t="shared" si="3"/>
        <v>1.7999999999999999E-2</v>
      </c>
      <c r="O26" s="5">
        <f t="shared" si="4"/>
        <v>3.9704999999999928E-2</v>
      </c>
      <c r="P26" s="23"/>
      <c r="Q26" s="142"/>
      <c r="R26" s="49"/>
    </row>
    <row r="27" spans="1:18" x14ac:dyDescent="0.3">
      <c r="A27" s="119"/>
      <c r="B27" s="31">
        <v>5100</v>
      </c>
      <c r="C27" s="1">
        <v>100</v>
      </c>
      <c r="D27" s="23"/>
      <c r="E27" s="31">
        <v>5073.3</v>
      </c>
      <c r="F27" s="1">
        <v>5072.6000000000004</v>
      </c>
      <c r="G27" s="1">
        <v>101.37</v>
      </c>
      <c r="H27" s="1">
        <v>99.84</v>
      </c>
      <c r="J27" s="23"/>
      <c r="K27" s="31">
        <f t="shared" si="0"/>
        <v>5072.9500000000007</v>
      </c>
      <c r="L27" s="1">
        <f t="shared" si="1"/>
        <v>100.605</v>
      </c>
      <c r="M27" s="23">
        <f t="shared" si="2"/>
        <v>0</v>
      </c>
      <c r="N27" s="80">
        <f t="shared" si="3"/>
        <v>5.3039215686273081E-3</v>
      </c>
      <c r="O27" s="5">
        <f t="shared" si="4"/>
        <v>6.0500000000000397E-3</v>
      </c>
      <c r="P27" s="23"/>
      <c r="Q27" s="142"/>
      <c r="R27" s="49"/>
    </row>
    <row r="28" spans="1:18" x14ac:dyDescent="0.3">
      <c r="A28" s="119"/>
      <c r="B28" s="31">
        <v>5100</v>
      </c>
      <c r="C28" s="1">
        <v>220</v>
      </c>
      <c r="D28" s="23"/>
      <c r="E28" s="31">
        <v>5079.1000000000004</v>
      </c>
      <c r="F28" s="1">
        <v>5075.2</v>
      </c>
      <c r="G28" s="1">
        <v>226.35</v>
      </c>
      <c r="H28" s="1">
        <v>226.65</v>
      </c>
      <c r="J28" s="23"/>
      <c r="K28" s="31">
        <f t="shared" si="0"/>
        <v>5077.1499999999996</v>
      </c>
      <c r="L28" s="1">
        <f t="shared" si="1"/>
        <v>226.5</v>
      </c>
      <c r="M28" s="23">
        <f t="shared" si="2"/>
        <v>0</v>
      </c>
      <c r="N28" s="80">
        <f t="shared" si="3"/>
        <v>4.4803921568628167E-3</v>
      </c>
      <c r="O28" s="5">
        <f t="shared" si="4"/>
        <v>2.9545454545454545E-2</v>
      </c>
      <c r="P28" s="23"/>
      <c r="Q28" s="142"/>
      <c r="R28" s="49"/>
    </row>
    <row r="29" spans="1:18" x14ac:dyDescent="0.3">
      <c r="A29" s="119"/>
      <c r="B29" s="31">
        <v>5100</v>
      </c>
      <c r="C29" s="1">
        <v>470</v>
      </c>
      <c r="D29" s="23"/>
      <c r="E29" s="31">
        <v>5081.6000000000004</v>
      </c>
      <c r="F29" s="1">
        <v>5084.2</v>
      </c>
      <c r="G29" s="1">
        <v>475.48</v>
      </c>
      <c r="H29" s="1">
        <v>474.33</v>
      </c>
      <c r="J29" s="23"/>
      <c r="K29" s="31">
        <f t="shared" si="0"/>
        <v>5082.8999999999996</v>
      </c>
      <c r="L29" s="1">
        <f t="shared" si="1"/>
        <v>474.90499999999997</v>
      </c>
      <c r="M29" s="23">
        <f t="shared" si="2"/>
        <v>0</v>
      </c>
      <c r="N29" s="80">
        <f t="shared" si="3"/>
        <v>3.3529411764706596E-3</v>
      </c>
      <c r="O29" s="5">
        <f t="shared" si="4"/>
        <v>1.04361702127659E-2</v>
      </c>
      <c r="P29" s="23"/>
      <c r="Q29" s="142"/>
      <c r="R29" s="49"/>
    </row>
    <row r="30" spans="1:18" x14ac:dyDescent="0.3">
      <c r="A30" s="119"/>
      <c r="B30" s="31">
        <v>5100</v>
      </c>
      <c r="C30" s="1">
        <v>1000</v>
      </c>
      <c r="D30" s="23"/>
      <c r="E30" s="31">
        <v>5086.1000000000004</v>
      </c>
      <c r="F30" s="1">
        <v>5086.1000000000004</v>
      </c>
      <c r="G30" s="1">
        <v>1029.71</v>
      </c>
      <c r="H30" s="1">
        <v>1034.49</v>
      </c>
      <c r="J30" s="23"/>
      <c r="K30" s="31">
        <f t="shared" si="0"/>
        <v>5086.1000000000004</v>
      </c>
      <c r="L30" s="1">
        <f t="shared" si="1"/>
        <v>1032.0999999999999</v>
      </c>
      <c r="M30" s="23">
        <f t="shared" si="2"/>
        <v>0</v>
      </c>
      <c r="N30" s="80">
        <f t="shared" si="3"/>
        <v>2.7254901960783598E-3</v>
      </c>
      <c r="O30" s="5">
        <f t="shared" si="4"/>
        <v>3.2099999999999906E-2</v>
      </c>
      <c r="P30" s="23"/>
      <c r="Q30" s="142"/>
      <c r="R30" s="49"/>
    </row>
    <row r="31" spans="1:18" x14ac:dyDescent="0.3">
      <c r="A31" s="119"/>
      <c r="B31" s="31">
        <v>10000</v>
      </c>
      <c r="C31" s="1">
        <v>100</v>
      </c>
      <c r="D31" s="23"/>
      <c r="E31" s="31">
        <v>9896.4</v>
      </c>
      <c r="F31" s="1">
        <v>10514.1</v>
      </c>
      <c r="G31" s="1">
        <v>106.75</v>
      </c>
      <c r="H31" s="1">
        <v>115.01</v>
      </c>
      <c r="J31" s="23"/>
      <c r="K31" s="31">
        <f t="shared" si="0"/>
        <v>10205.25</v>
      </c>
      <c r="L31" s="1">
        <f t="shared" si="1"/>
        <v>110.88</v>
      </c>
      <c r="M31" s="23">
        <f t="shared" si="2"/>
        <v>0</v>
      </c>
      <c r="N31" s="80">
        <f>(ABS(K31-B31))/B31</f>
        <v>2.0525000000000002E-2</v>
      </c>
      <c r="O31" s="5">
        <f t="shared" si="4"/>
        <v>0.10879999999999995</v>
      </c>
      <c r="P31" s="23"/>
      <c r="Q31" s="142"/>
      <c r="R31" s="49"/>
    </row>
    <row r="32" spans="1:18" s="35" customFormat="1" x14ac:dyDescent="0.3">
      <c r="A32" s="119"/>
      <c r="B32" s="67">
        <v>10000</v>
      </c>
      <c r="C32" s="35">
        <v>100</v>
      </c>
      <c r="D32" s="37"/>
      <c r="E32" s="67">
        <v>9717</v>
      </c>
      <c r="F32" s="35">
        <v>9721.4</v>
      </c>
      <c r="G32" s="35">
        <v>99.7</v>
      </c>
      <c r="H32" s="35">
        <v>99.83</v>
      </c>
      <c r="J32" s="37"/>
      <c r="K32" s="67">
        <f t="shared" si="0"/>
        <v>9719.2000000000007</v>
      </c>
      <c r="L32" s="35">
        <f t="shared" si="1"/>
        <v>99.765000000000001</v>
      </c>
      <c r="M32" s="37">
        <f t="shared" si="2"/>
        <v>0</v>
      </c>
      <c r="N32" s="80">
        <f>(ABS(K32-B32))/B32</f>
        <v>2.8079999999999928E-2</v>
      </c>
      <c r="O32" s="36">
        <f t="shared" si="4"/>
        <v>2.3499999999999945E-3</v>
      </c>
      <c r="P32" s="37"/>
      <c r="Q32" s="142"/>
      <c r="R32" s="49"/>
    </row>
    <row r="33" spans="1:18" x14ac:dyDescent="0.3">
      <c r="A33" s="119"/>
      <c r="B33" s="31">
        <v>10000</v>
      </c>
      <c r="C33" s="1">
        <v>220</v>
      </c>
      <c r="D33" s="23"/>
      <c r="E33" s="31">
        <v>9598.4</v>
      </c>
      <c r="F33" s="1">
        <v>9254.5</v>
      </c>
      <c r="G33" s="1">
        <v>236.92</v>
      </c>
      <c r="H33" s="1">
        <v>237.71</v>
      </c>
      <c r="J33" s="23"/>
      <c r="K33" s="31">
        <f t="shared" si="0"/>
        <v>9426.4500000000007</v>
      </c>
      <c r="L33" s="1">
        <f t="shared" si="1"/>
        <v>237.315</v>
      </c>
      <c r="M33" s="23">
        <f t="shared" si="2"/>
        <v>0</v>
      </c>
      <c r="N33" s="80">
        <f t="shared" si="3"/>
        <v>5.7354999999999927E-2</v>
      </c>
      <c r="O33" s="5">
        <f t="shared" si="4"/>
        <v>7.8704545454545444E-2</v>
      </c>
      <c r="P33" s="23"/>
      <c r="Q33" s="142"/>
      <c r="R33" s="49"/>
    </row>
    <row r="34" spans="1:18" x14ac:dyDescent="0.3">
      <c r="A34" s="119"/>
      <c r="B34" s="31">
        <v>10000</v>
      </c>
      <c r="C34" s="1">
        <v>470</v>
      </c>
      <c r="D34" s="23"/>
      <c r="E34" s="31">
        <v>9000</v>
      </c>
      <c r="F34" s="1">
        <v>8819.7999999999993</v>
      </c>
      <c r="G34" s="1">
        <v>496.61</v>
      </c>
      <c r="H34" s="1">
        <v>496.63</v>
      </c>
      <c r="J34" s="23"/>
      <c r="K34" s="31">
        <f t="shared" si="0"/>
        <v>8909.9</v>
      </c>
      <c r="L34" s="1">
        <f t="shared" si="1"/>
        <v>496.62</v>
      </c>
      <c r="M34" s="23">
        <f t="shared" si="2"/>
        <v>0</v>
      </c>
      <c r="N34" s="80">
        <f>(ABS(K34-B34))/B34</f>
        <v>0.10901000000000004</v>
      </c>
      <c r="O34" s="5">
        <f t="shared" si="4"/>
        <v>5.6638297872340433E-2</v>
      </c>
      <c r="P34" s="23"/>
      <c r="Q34" s="142"/>
      <c r="R34" s="49"/>
    </row>
    <row r="35" spans="1:18" x14ac:dyDescent="0.3">
      <c r="A35" s="119"/>
      <c r="B35" s="31">
        <v>10000</v>
      </c>
      <c r="C35" s="1">
        <v>1000</v>
      </c>
      <c r="D35" s="23"/>
      <c r="E35" s="31">
        <v>7899.2</v>
      </c>
      <c r="F35" s="1">
        <v>7895</v>
      </c>
      <c r="G35" s="1">
        <v>1095.19</v>
      </c>
      <c r="H35" s="1">
        <v>1071.99</v>
      </c>
      <c r="J35" s="23"/>
      <c r="K35" s="31">
        <f t="shared" si="0"/>
        <v>7897.1</v>
      </c>
      <c r="L35" s="1">
        <f t="shared" si="1"/>
        <v>1083.5900000000001</v>
      </c>
      <c r="M35" s="23">
        <f t="shared" si="2"/>
        <v>0</v>
      </c>
      <c r="N35" s="80">
        <f t="shared" si="3"/>
        <v>0.21028999999999998</v>
      </c>
      <c r="O35" s="5">
        <f t="shared" si="4"/>
        <v>8.359000000000015E-2</v>
      </c>
      <c r="P35" s="23"/>
      <c r="Q35" s="142"/>
      <c r="R35" s="49"/>
    </row>
    <row r="36" spans="1:18" s="46" customFormat="1" x14ac:dyDescent="0.3">
      <c r="A36" s="119"/>
      <c r="B36" s="68">
        <v>10000</v>
      </c>
      <c r="C36" s="46">
        <v>470</v>
      </c>
      <c r="D36" s="48"/>
      <c r="E36" s="68">
        <v>9936.7000000000007</v>
      </c>
      <c r="F36" s="46">
        <v>9931.2000000000007</v>
      </c>
      <c r="G36" s="46">
        <v>497.1</v>
      </c>
      <c r="H36" s="46">
        <v>498.54</v>
      </c>
      <c r="J36" s="48"/>
      <c r="K36" s="68">
        <f t="shared" si="0"/>
        <v>9933.9500000000007</v>
      </c>
      <c r="L36" s="46">
        <f t="shared" si="1"/>
        <v>497.82000000000005</v>
      </c>
      <c r="M36" s="48">
        <f t="shared" si="2"/>
        <v>0</v>
      </c>
      <c r="N36" s="80">
        <f t="shared" si="3"/>
        <v>6.6049999999999269E-3</v>
      </c>
      <c r="O36" s="47">
        <f t="shared" si="4"/>
        <v>5.9191489361702238E-2</v>
      </c>
      <c r="P36" s="48"/>
      <c r="Q36" s="134" t="s">
        <v>18</v>
      </c>
      <c r="R36" s="49"/>
    </row>
    <row r="37" spans="1:18" s="46" customFormat="1" x14ac:dyDescent="0.3">
      <c r="A37" s="119"/>
      <c r="B37" s="68">
        <v>10000</v>
      </c>
      <c r="C37" s="46">
        <v>1000</v>
      </c>
      <c r="D37" s="48"/>
      <c r="E37" s="68">
        <v>9927.2000000000007</v>
      </c>
      <c r="F37" s="46">
        <v>9926.7000000000007</v>
      </c>
      <c r="G37" s="46">
        <v>1106.45</v>
      </c>
      <c r="H37" s="46">
        <v>1104.29</v>
      </c>
      <c r="J37" s="48"/>
      <c r="K37" s="68">
        <f t="shared" si="0"/>
        <v>9926.9500000000007</v>
      </c>
      <c r="L37" s="46">
        <f t="shared" si="1"/>
        <v>1105.3699999999999</v>
      </c>
      <c r="M37" s="48">
        <f t="shared" si="2"/>
        <v>0</v>
      </c>
      <c r="N37" s="80">
        <f t="shared" si="3"/>
        <v>7.304999999999927E-3</v>
      </c>
      <c r="O37" s="47">
        <f t="shared" si="4"/>
        <v>0.10536999999999989</v>
      </c>
      <c r="P37" s="48"/>
      <c r="Q37" s="134" t="s">
        <v>20</v>
      </c>
      <c r="R37" s="49"/>
    </row>
    <row r="38" spans="1:18" s="35" customFormat="1" ht="14.5" thickBot="1" x14ac:dyDescent="0.35">
      <c r="A38" s="120"/>
      <c r="B38" s="127">
        <v>10000</v>
      </c>
      <c r="C38" s="38">
        <v>1000</v>
      </c>
      <c r="D38" s="76"/>
      <c r="E38" s="127">
        <v>9694.6</v>
      </c>
      <c r="F38" s="38">
        <v>9732.9</v>
      </c>
      <c r="G38" s="38">
        <v>948.65</v>
      </c>
      <c r="H38" s="38">
        <v>944.3</v>
      </c>
      <c r="I38" s="38"/>
      <c r="J38" s="76"/>
      <c r="K38" s="127">
        <f t="shared" si="0"/>
        <v>9713.75</v>
      </c>
      <c r="L38" s="38">
        <f t="shared" si="1"/>
        <v>946.47499999999991</v>
      </c>
      <c r="M38" s="76">
        <f t="shared" si="2"/>
        <v>0</v>
      </c>
      <c r="N38" s="81">
        <f t="shared" si="3"/>
        <v>2.8625000000000001E-2</v>
      </c>
      <c r="O38" s="117">
        <f t="shared" si="4"/>
        <v>5.3525000000000093E-2</v>
      </c>
      <c r="P38" s="76"/>
      <c r="Q38" s="145"/>
      <c r="R38" s="49"/>
    </row>
    <row r="39" spans="1:18" s="41" customFormat="1" x14ac:dyDescent="0.3">
      <c r="A39" s="121" t="s">
        <v>21</v>
      </c>
      <c r="B39" s="53">
        <v>12.3</v>
      </c>
      <c r="C39" s="54"/>
      <c r="D39" s="69">
        <v>1</v>
      </c>
      <c r="E39" s="53">
        <v>12.4</v>
      </c>
      <c r="F39" s="54">
        <v>12.4</v>
      </c>
      <c r="G39" s="54"/>
      <c r="H39" s="54"/>
      <c r="I39" s="54">
        <v>0.98</v>
      </c>
      <c r="J39" s="69">
        <v>0.98</v>
      </c>
      <c r="K39" s="53">
        <f t="shared" si="0"/>
        <v>12.4</v>
      </c>
      <c r="L39" s="54">
        <f t="shared" si="1"/>
        <v>0</v>
      </c>
      <c r="M39" s="69">
        <f t="shared" si="2"/>
        <v>0.98</v>
      </c>
      <c r="N39" s="79">
        <f t="shared" si="3"/>
        <v>8.1300813008129795E-3</v>
      </c>
      <c r="O39" s="50"/>
      <c r="P39" s="82">
        <f t="shared" ref="P5:P68" si="5">(ABS(M39-D39))/D39</f>
        <v>2.0000000000000018E-2</v>
      </c>
      <c r="Q39" s="144" t="s">
        <v>22</v>
      </c>
      <c r="R39" s="49"/>
    </row>
    <row r="40" spans="1:18" x14ac:dyDescent="0.3">
      <c r="A40" s="122"/>
      <c r="B40" s="55">
        <v>19</v>
      </c>
      <c r="C40" s="33"/>
      <c r="D40" s="34">
        <v>3.3</v>
      </c>
      <c r="E40" s="71">
        <v>18.600000000000001</v>
      </c>
      <c r="F40" s="33">
        <v>18.600000000000001</v>
      </c>
      <c r="G40" s="33"/>
      <c r="H40" s="33"/>
      <c r="I40" s="33">
        <v>3.12</v>
      </c>
      <c r="J40" s="34">
        <v>3.11</v>
      </c>
      <c r="K40" s="55">
        <f t="shared" si="0"/>
        <v>18.600000000000001</v>
      </c>
      <c r="L40" s="41">
        <f t="shared" si="1"/>
        <v>0</v>
      </c>
      <c r="M40" s="23">
        <f t="shared" si="2"/>
        <v>3.1150000000000002</v>
      </c>
      <c r="N40" s="80">
        <f t="shared" si="3"/>
        <v>2.1052631578947295E-2</v>
      </c>
      <c r="O40" s="44"/>
      <c r="P40" s="130">
        <f t="shared" si="5"/>
        <v>5.6060606060605943E-2</v>
      </c>
      <c r="Q40" s="142" t="s">
        <v>23</v>
      </c>
      <c r="R40" s="49"/>
    </row>
    <row r="41" spans="1:18" x14ac:dyDescent="0.3">
      <c r="A41" s="122"/>
      <c r="B41" s="55">
        <v>29.5</v>
      </c>
      <c r="C41" s="41"/>
      <c r="D41" s="70">
        <v>6.8</v>
      </c>
      <c r="E41" s="55">
        <v>28.7</v>
      </c>
      <c r="F41" s="41">
        <v>28.7</v>
      </c>
      <c r="G41" s="41"/>
      <c r="H41" s="41"/>
      <c r="I41" s="41">
        <v>6.6</v>
      </c>
      <c r="J41" s="70">
        <v>6.6</v>
      </c>
      <c r="K41" s="55">
        <f t="shared" si="0"/>
        <v>28.7</v>
      </c>
      <c r="L41" s="41">
        <f t="shared" si="1"/>
        <v>0</v>
      </c>
      <c r="M41" s="23">
        <f t="shared" si="2"/>
        <v>6.6</v>
      </c>
      <c r="N41" s="80">
        <f t="shared" si="3"/>
        <v>2.7118644067796634E-2</v>
      </c>
      <c r="O41" s="44"/>
      <c r="P41" s="130">
        <f t="shared" si="5"/>
        <v>2.941176470588238E-2</v>
      </c>
      <c r="Q41" s="142" t="s">
        <v>26</v>
      </c>
      <c r="R41" s="49"/>
    </row>
    <row r="42" spans="1:18" x14ac:dyDescent="0.3">
      <c r="A42" s="122"/>
      <c r="B42" s="55">
        <v>32</v>
      </c>
      <c r="C42" s="41"/>
      <c r="D42" s="70">
        <v>10</v>
      </c>
      <c r="E42" s="55">
        <v>31.1</v>
      </c>
      <c r="F42" s="41">
        <v>31.1</v>
      </c>
      <c r="G42" s="41"/>
      <c r="H42" s="41"/>
      <c r="I42" s="41">
        <v>10.24</v>
      </c>
      <c r="J42" s="70">
        <v>10.24</v>
      </c>
      <c r="K42" s="55">
        <f t="shared" si="0"/>
        <v>31.1</v>
      </c>
      <c r="L42" s="41">
        <f t="shared" si="1"/>
        <v>0</v>
      </c>
      <c r="M42" s="23">
        <f t="shared" si="2"/>
        <v>10.24</v>
      </c>
      <c r="N42" s="80">
        <f t="shared" si="3"/>
        <v>2.8124999999999956E-2</v>
      </c>
      <c r="O42" s="44"/>
      <c r="P42" s="130">
        <f t="shared" si="5"/>
        <v>2.4000000000000021E-2</v>
      </c>
      <c r="Q42" s="142" t="s">
        <v>24</v>
      </c>
      <c r="R42" s="49"/>
    </row>
    <row r="43" spans="1:18" x14ac:dyDescent="0.3">
      <c r="A43" s="122"/>
      <c r="B43" s="71">
        <v>53.3</v>
      </c>
      <c r="C43" s="41"/>
      <c r="D43" s="70">
        <v>1</v>
      </c>
      <c r="E43" s="55">
        <v>52</v>
      </c>
      <c r="F43" s="41">
        <v>52</v>
      </c>
      <c r="G43" s="41"/>
      <c r="H43" s="41"/>
      <c r="I43" s="41">
        <v>0.99</v>
      </c>
      <c r="J43" s="70">
        <v>0.99</v>
      </c>
      <c r="K43" s="55">
        <f t="shared" si="0"/>
        <v>52</v>
      </c>
      <c r="L43" s="41">
        <f t="shared" si="1"/>
        <v>0</v>
      </c>
      <c r="M43" s="23">
        <f t="shared" si="2"/>
        <v>0.99</v>
      </c>
      <c r="N43" s="80">
        <f t="shared" si="3"/>
        <v>2.4390243902438973E-2</v>
      </c>
      <c r="O43" s="44"/>
      <c r="P43" s="130">
        <f t="shared" si="5"/>
        <v>1.0000000000000009E-2</v>
      </c>
      <c r="Q43" s="142" t="s">
        <v>22</v>
      </c>
      <c r="R43" s="49"/>
    </row>
    <row r="44" spans="1:18" x14ac:dyDescent="0.3">
      <c r="A44" s="122"/>
      <c r="B44" s="71">
        <v>60</v>
      </c>
      <c r="C44" s="41"/>
      <c r="D44" s="34">
        <v>3.3</v>
      </c>
      <c r="E44" s="55">
        <v>58.3</v>
      </c>
      <c r="F44" s="41">
        <v>58.3</v>
      </c>
      <c r="G44" s="41"/>
      <c r="H44" s="41"/>
      <c r="I44" s="41">
        <v>3.14</v>
      </c>
      <c r="J44" s="70">
        <v>3.14</v>
      </c>
      <c r="K44" s="55">
        <f t="shared" si="0"/>
        <v>58.3</v>
      </c>
      <c r="L44" s="41">
        <f t="shared" si="1"/>
        <v>0</v>
      </c>
      <c r="M44" s="34">
        <f t="shared" si="2"/>
        <v>3.14</v>
      </c>
      <c r="N44" s="80">
        <f t="shared" si="3"/>
        <v>2.833333333333338E-2</v>
      </c>
      <c r="O44" s="44"/>
      <c r="P44" s="130">
        <f t="shared" si="5"/>
        <v>4.8484848484848395E-2</v>
      </c>
      <c r="Q44" s="142" t="s">
        <v>23</v>
      </c>
      <c r="R44" s="49"/>
    </row>
    <row r="45" spans="1:18" x14ac:dyDescent="0.3">
      <c r="A45" s="122"/>
      <c r="B45" s="71">
        <v>70.5</v>
      </c>
      <c r="C45" s="41"/>
      <c r="D45" s="70">
        <v>6.8</v>
      </c>
      <c r="E45" s="55">
        <v>68.400000000000006</v>
      </c>
      <c r="F45" s="41">
        <v>68.400000000000006</v>
      </c>
      <c r="G45" s="41"/>
      <c r="H45" s="41"/>
      <c r="I45" s="41">
        <v>6.65</v>
      </c>
      <c r="J45" s="70">
        <v>6.64</v>
      </c>
      <c r="K45" s="55">
        <f t="shared" si="0"/>
        <v>68.400000000000006</v>
      </c>
      <c r="L45" s="41">
        <f t="shared" si="1"/>
        <v>0</v>
      </c>
      <c r="M45" s="34">
        <f t="shared" si="2"/>
        <v>6.6449999999999996</v>
      </c>
      <c r="N45" s="80">
        <f t="shared" si="3"/>
        <v>2.978723404255311E-2</v>
      </c>
      <c r="O45" s="44"/>
      <c r="P45" s="130">
        <f t="shared" si="5"/>
        <v>2.2794117647058861E-2</v>
      </c>
      <c r="Q45" s="142" t="s">
        <v>26</v>
      </c>
      <c r="R45" s="49"/>
    </row>
    <row r="46" spans="1:18" x14ac:dyDescent="0.3">
      <c r="A46" s="122"/>
      <c r="B46" s="71">
        <v>73</v>
      </c>
      <c r="C46" s="41"/>
      <c r="D46" s="70">
        <v>10</v>
      </c>
      <c r="E46" s="55">
        <v>70.900000000000006</v>
      </c>
      <c r="F46" s="41">
        <v>70.900000000000006</v>
      </c>
      <c r="G46" s="41"/>
      <c r="H46" s="41"/>
      <c r="I46" s="41">
        <v>10.08</v>
      </c>
      <c r="J46" s="70">
        <v>10.07</v>
      </c>
      <c r="K46" s="55">
        <f t="shared" si="0"/>
        <v>70.900000000000006</v>
      </c>
      <c r="L46" s="41">
        <f t="shared" si="1"/>
        <v>0</v>
      </c>
      <c r="M46" s="34">
        <f t="shared" si="2"/>
        <v>10.074999999999999</v>
      </c>
      <c r="N46" s="80">
        <f t="shared" si="3"/>
        <v>2.8767123287671156E-2</v>
      </c>
      <c r="O46" s="44"/>
      <c r="P46" s="130">
        <f t="shared" si="5"/>
        <v>7.4999999999999286E-3</v>
      </c>
      <c r="Q46" s="142" t="s">
        <v>24</v>
      </c>
      <c r="R46" s="49"/>
    </row>
    <row r="47" spans="1:18" x14ac:dyDescent="0.3">
      <c r="A47" s="122"/>
      <c r="B47" s="55">
        <v>102.3</v>
      </c>
      <c r="C47" s="41"/>
      <c r="D47" s="70">
        <v>1</v>
      </c>
      <c r="E47" s="55">
        <v>100.7</v>
      </c>
      <c r="F47" s="41">
        <v>100.6</v>
      </c>
      <c r="G47" s="41"/>
      <c r="H47" s="41"/>
      <c r="I47" s="41">
        <v>1</v>
      </c>
      <c r="J47" s="70">
        <v>1</v>
      </c>
      <c r="K47" s="55">
        <f t="shared" si="0"/>
        <v>100.65</v>
      </c>
      <c r="L47" s="41">
        <f t="shared" si="1"/>
        <v>0</v>
      </c>
      <c r="M47" s="34">
        <f t="shared" si="2"/>
        <v>1</v>
      </c>
      <c r="N47" s="80">
        <f t="shared" si="3"/>
        <v>1.6129032258064432E-2</v>
      </c>
      <c r="O47" s="44"/>
      <c r="P47" s="130">
        <f t="shared" si="5"/>
        <v>0</v>
      </c>
      <c r="Q47" s="142" t="s">
        <v>22</v>
      </c>
      <c r="R47" s="49"/>
    </row>
    <row r="48" spans="1:18" x14ac:dyDescent="0.3">
      <c r="A48" s="122"/>
      <c r="B48" s="55">
        <v>109</v>
      </c>
      <c r="C48" s="41"/>
      <c r="D48" s="34">
        <v>3.3</v>
      </c>
      <c r="E48" s="55">
        <v>107.2</v>
      </c>
      <c r="F48" s="41">
        <v>107.2</v>
      </c>
      <c r="G48" s="41"/>
      <c r="H48" s="41"/>
      <c r="I48" s="41">
        <v>3.11</v>
      </c>
      <c r="J48" s="70">
        <v>3.11</v>
      </c>
      <c r="K48" s="55">
        <f t="shared" si="0"/>
        <v>107.2</v>
      </c>
      <c r="L48" s="41">
        <f t="shared" si="1"/>
        <v>0</v>
      </c>
      <c r="M48" s="34">
        <f t="shared" si="2"/>
        <v>3.11</v>
      </c>
      <c r="N48" s="80">
        <f t="shared" si="3"/>
        <v>1.6513761467889881E-2</v>
      </c>
      <c r="O48" s="44"/>
      <c r="P48" s="130">
        <f t="shared" si="5"/>
        <v>5.7575757575757565E-2</v>
      </c>
      <c r="Q48" s="142" t="s">
        <v>23</v>
      </c>
      <c r="R48" s="49"/>
    </row>
    <row r="49" spans="1:19" x14ac:dyDescent="0.3">
      <c r="A49" s="122"/>
      <c r="B49" s="55">
        <v>119.5</v>
      </c>
      <c r="C49" s="41"/>
      <c r="D49" s="70">
        <v>6.8</v>
      </c>
      <c r="E49" s="55">
        <v>116</v>
      </c>
      <c r="F49" s="41">
        <v>116</v>
      </c>
      <c r="G49" s="41"/>
      <c r="H49" s="41"/>
      <c r="I49" s="41">
        <v>6.47</v>
      </c>
      <c r="J49" s="70">
        <v>6.47</v>
      </c>
      <c r="K49" s="55">
        <f t="shared" si="0"/>
        <v>116</v>
      </c>
      <c r="L49" s="41">
        <f t="shared" si="1"/>
        <v>0</v>
      </c>
      <c r="M49" s="34">
        <f t="shared" si="2"/>
        <v>6.47</v>
      </c>
      <c r="N49" s="80">
        <f t="shared" si="3"/>
        <v>2.9288702928870293E-2</v>
      </c>
      <c r="O49" s="44"/>
      <c r="P49" s="130">
        <f t="shared" si="5"/>
        <v>4.8529411764705897E-2</v>
      </c>
      <c r="Q49" s="142" t="s">
        <v>26</v>
      </c>
      <c r="R49" s="49"/>
    </row>
    <row r="50" spans="1:19" ht="14.5" thickBot="1" x14ac:dyDescent="0.35">
      <c r="A50" s="123"/>
      <c r="B50" s="56">
        <v>122</v>
      </c>
      <c r="C50" s="43"/>
      <c r="D50" s="72">
        <v>10</v>
      </c>
      <c r="E50" s="56">
        <v>118.3</v>
      </c>
      <c r="F50" s="43">
        <v>118.3</v>
      </c>
      <c r="G50" s="43"/>
      <c r="H50" s="43"/>
      <c r="I50" s="43">
        <v>10.11</v>
      </c>
      <c r="J50" s="72">
        <v>10.11</v>
      </c>
      <c r="K50" s="56">
        <f t="shared" si="0"/>
        <v>118.3</v>
      </c>
      <c r="L50" s="43">
        <f t="shared" si="1"/>
        <v>0</v>
      </c>
      <c r="M50" s="77">
        <f t="shared" si="2"/>
        <v>10.11</v>
      </c>
      <c r="N50" s="81">
        <f t="shared" si="3"/>
        <v>3.0327868852459038E-2</v>
      </c>
      <c r="O50" s="51"/>
      <c r="P50" s="131">
        <f t="shared" si="5"/>
        <v>1.0999999999999944E-2</v>
      </c>
      <c r="Q50" s="145" t="s">
        <v>24</v>
      </c>
      <c r="R50" s="148"/>
    </row>
    <row r="51" spans="1:19" s="52" customFormat="1" x14ac:dyDescent="0.3">
      <c r="A51" s="121" t="s">
        <v>25</v>
      </c>
      <c r="B51" s="135">
        <v>10</v>
      </c>
      <c r="C51" s="136">
        <v>2.2999999999999998</v>
      </c>
      <c r="D51" s="137">
        <v>1</v>
      </c>
      <c r="E51" s="135">
        <v>10.7</v>
      </c>
      <c r="F51" s="136">
        <v>10.6</v>
      </c>
      <c r="G51" s="136"/>
      <c r="H51" s="136"/>
      <c r="I51" s="136">
        <v>0.97</v>
      </c>
      <c r="J51" s="137">
        <v>0.97</v>
      </c>
      <c r="K51" s="135">
        <f t="shared" si="0"/>
        <v>10.649999999999999</v>
      </c>
      <c r="L51" s="136">
        <f t="shared" si="1"/>
        <v>0</v>
      </c>
      <c r="M51" s="137">
        <f t="shared" si="2"/>
        <v>0.97</v>
      </c>
      <c r="N51" s="138">
        <f>(ABS(K51-B51))/B51</f>
        <v>6.4999999999999863E-2</v>
      </c>
      <c r="O51" s="139"/>
      <c r="P51" s="140">
        <f t="shared" si="5"/>
        <v>3.0000000000000027E-2</v>
      </c>
      <c r="Q51" s="149" t="s">
        <v>27</v>
      </c>
      <c r="R51" s="144">
        <f>B51*C51/(B51+C51)</f>
        <v>1.8699186991869918</v>
      </c>
      <c r="S51" s="59"/>
    </row>
    <row r="52" spans="1:19" s="52" customFormat="1" x14ac:dyDescent="0.3">
      <c r="A52" s="122"/>
      <c r="B52" s="73">
        <v>10</v>
      </c>
      <c r="C52" s="52">
        <v>9</v>
      </c>
      <c r="D52" s="58">
        <v>3.3</v>
      </c>
      <c r="E52" s="73">
        <v>11.7</v>
      </c>
      <c r="I52" s="52">
        <v>1.62</v>
      </c>
      <c r="J52" s="58"/>
      <c r="K52" s="73">
        <f t="shared" si="0"/>
        <v>5.85</v>
      </c>
      <c r="L52" s="52">
        <f t="shared" si="1"/>
        <v>0</v>
      </c>
      <c r="M52" s="58">
        <f t="shared" si="2"/>
        <v>0.81</v>
      </c>
      <c r="N52" s="132">
        <f t="shared" si="3"/>
        <v>0.41500000000000004</v>
      </c>
      <c r="O52" s="57"/>
      <c r="P52" s="133">
        <f t="shared" si="5"/>
        <v>0.75454545454545452</v>
      </c>
      <c r="Q52" s="142" t="s">
        <v>23</v>
      </c>
      <c r="R52" s="142">
        <f t="shared" ref="R52:R63" si="6">B52*C52/(B52+C52)</f>
        <v>4.7368421052631575</v>
      </c>
      <c r="S52" s="59"/>
    </row>
    <row r="53" spans="1:19" s="52" customFormat="1" x14ac:dyDescent="0.3">
      <c r="A53" s="122"/>
      <c r="B53" s="73">
        <v>10</v>
      </c>
      <c r="C53" s="52">
        <v>19.5</v>
      </c>
      <c r="D53" s="58">
        <v>6.8</v>
      </c>
      <c r="E53" s="73"/>
      <c r="J53" s="58"/>
      <c r="K53" s="73">
        <f t="shared" si="0"/>
        <v>0</v>
      </c>
      <c r="L53" s="52">
        <f t="shared" si="1"/>
        <v>0</v>
      </c>
      <c r="M53" s="58">
        <f t="shared" si="2"/>
        <v>0</v>
      </c>
      <c r="N53" s="132">
        <f t="shared" si="3"/>
        <v>1</v>
      </c>
      <c r="O53" s="57"/>
      <c r="P53" s="133">
        <f t="shared" si="5"/>
        <v>1</v>
      </c>
      <c r="Q53" s="142" t="s">
        <v>26</v>
      </c>
      <c r="R53" s="142">
        <f t="shared" si="6"/>
        <v>6.6101694915254239</v>
      </c>
      <c r="S53" s="59"/>
    </row>
    <row r="54" spans="1:19" s="52" customFormat="1" x14ac:dyDescent="0.3">
      <c r="A54" s="122"/>
      <c r="B54" s="73">
        <v>10</v>
      </c>
      <c r="C54" s="52">
        <v>22</v>
      </c>
      <c r="D54" s="58">
        <v>10</v>
      </c>
      <c r="E54" s="73"/>
      <c r="J54" s="58"/>
      <c r="K54" s="73">
        <f t="shared" si="0"/>
        <v>0</v>
      </c>
      <c r="L54" s="52">
        <f t="shared" si="1"/>
        <v>0</v>
      </c>
      <c r="M54" s="58">
        <f t="shared" si="2"/>
        <v>0</v>
      </c>
      <c r="N54" s="132">
        <f t="shared" si="3"/>
        <v>1</v>
      </c>
      <c r="O54" s="57"/>
      <c r="P54" s="133">
        <f t="shared" si="5"/>
        <v>1</v>
      </c>
      <c r="Q54" s="142" t="s">
        <v>24</v>
      </c>
      <c r="R54" s="142">
        <f t="shared" si="6"/>
        <v>6.875</v>
      </c>
      <c r="S54" s="59"/>
    </row>
    <row r="55" spans="1:19" x14ac:dyDescent="0.3">
      <c r="A55" s="122"/>
      <c r="B55" s="71">
        <v>51</v>
      </c>
      <c r="C55" s="41">
        <v>2.2999999999999998</v>
      </c>
      <c r="D55" s="70">
        <v>1</v>
      </c>
      <c r="E55" s="31">
        <v>51.7</v>
      </c>
      <c r="F55" s="1">
        <v>51.7</v>
      </c>
      <c r="I55" s="1">
        <v>1</v>
      </c>
      <c r="J55" s="23">
        <v>1</v>
      </c>
      <c r="K55" s="55">
        <f t="shared" si="0"/>
        <v>51.7</v>
      </c>
      <c r="L55" s="41">
        <f t="shared" si="1"/>
        <v>0</v>
      </c>
      <c r="M55" s="34">
        <f t="shared" si="2"/>
        <v>1</v>
      </c>
      <c r="N55" s="80">
        <f t="shared" si="3"/>
        <v>1.3725490196078487E-2</v>
      </c>
      <c r="O55" s="44"/>
      <c r="P55" s="130">
        <f t="shared" si="5"/>
        <v>0</v>
      </c>
      <c r="Q55" s="142" t="s">
        <v>22</v>
      </c>
      <c r="R55" s="142">
        <f t="shared" si="6"/>
        <v>2.2007504690431521</v>
      </c>
      <c r="S55" s="3"/>
    </row>
    <row r="56" spans="1:19" x14ac:dyDescent="0.3">
      <c r="A56" s="122"/>
      <c r="B56" s="71">
        <v>51</v>
      </c>
      <c r="C56" s="41">
        <v>9</v>
      </c>
      <c r="D56" s="34">
        <v>3.3</v>
      </c>
      <c r="E56" s="31">
        <v>51.8</v>
      </c>
      <c r="F56" s="1">
        <v>51.8</v>
      </c>
      <c r="I56" s="1">
        <v>3.33</v>
      </c>
      <c r="J56" s="23">
        <v>3.32</v>
      </c>
      <c r="K56" s="55">
        <f t="shared" si="0"/>
        <v>51.8</v>
      </c>
      <c r="L56" s="41">
        <f t="shared" si="1"/>
        <v>0</v>
      </c>
      <c r="M56" s="34">
        <f t="shared" si="2"/>
        <v>3.3250000000000002</v>
      </c>
      <c r="N56" s="80">
        <f t="shared" si="3"/>
        <v>1.5686274509803866E-2</v>
      </c>
      <c r="O56" s="44"/>
      <c r="P56" s="130">
        <f t="shared" si="5"/>
        <v>7.5757575757576835E-3</v>
      </c>
      <c r="Q56" s="142" t="s">
        <v>23</v>
      </c>
      <c r="R56" s="142">
        <f t="shared" si="6"/>
        <v>7.65</v>
      </c>
      <c r="S56" s="3"/>
    </row>
    <row r="57" spans="1:19" s="52" customFormat="1" x14ac:dyDescent="0.3">
      <c r="A57" s="122"/>
      <c r="B57" s="73">
        <v>51</v>
      </c>
      <c r="C57" s="52">
        <v>19.5</v>
      </c>
      <c r="D57" s="58">
        <v>6.8</v>
      </c>
      <c r="E57" s="73">
        <v>51.8</v>
      </c>
      <c r="F57" s="52">
        <v>51.8</v>
      </c>
      <c r="I57" s="52">
        <v>5.76</v>
      </c>
      <c r="J57" s="58">
        <v>5.74</v>
      </c>
      <c r="K57" s="73">
        <f t="shared" si="0"/>
        <v>51.8</v>
      </c>
      <c r="L57" s="52">
        <f t="shared" si="1"/>
        <v>0</v>
      </c>
      <c r="M57" s="58">
        <f t="shared" si="2"/>
        <v>5.75</v>
      </c>
      <c r="N57" s="132">
        <f t="shared" si="3"/>
        <v>1.5686274509803866E-2</v>
      </c>
      <c r="O57" s="57"/>
      <c r="P57" s="133">
        <f t="shared" si="5"/>
        <v>0.15441176470588233</v>
      </c>
      <c r="Q57" s="142" t="s">
        <v>26</v>
      </c>
      <c r="R57" s="142">
        <f t="shared" si="6"/>
        <v>14.106382978723405</v>
      </c>
      <c r="S57" s="59"/>
    </row>
    <row r="58" spans="1:19" x14ac:dyDescent="0.3">
      <c r="A58" s="122"/>
      <c r="B58" s="71">
        <v>51</v>
      </c>
      <c r="C58" s="1">
        <v>22</v>
      </c>
      <c r="D58" s="70">
        <v>10</v>
      </c>
      <c r="E58" s="31">
        <v>51.8</v>
      </c>
      <c r="F58" s="1">
        <v>51.4</v>
      </c>
      <c r="I58" s="1">
        <v>9.4700000000000006</v>
      </c>
      <c r="J58" s="23">
        <v>9.4700000000000006</v>
      </c>
      <c r="K58" s="55">
        <f t="shared" si="0"/>
        <v>51.599999999999994</v>
      </c>
      <c r="L58" s="41">
        <f t="shared" si="1"/>
        <v>0</v>
      </c>
      <c r="M58" s="34">
        <f t="shared" si="2"/>
        <v>9.4700000000000006</v>
      </c>
      <c r="N58" s="80">
        <f t="shared" si="3"/>
        <v>1.176470588235283E-2</v>
      </c>
      <c r="O58" s="44"/>
      <c r="P58" s="130">
        <f t="shared" si="5"/>
        <v>5.2999999999999936E-2</v>
      </c>
      <c r="Q58" s="142" t="s">
        <v>24</v>
      </c>
      <c r="R58" s="142">
        <f t="shared" si="6"/>
        <v>15.36986301369863</v>
      </c>
      <c r="S58" s="3"/>
    </row>
    <row r="59" spans="1:19" x14ac:dyDescent="0.3">
      <c r="A59" s="122"/>
      <c r="B59" s="55">
        <v>100</v>
      </c>
      <c r="C59" s="41">
        <v>2.2999999999999998</v>
      </c>
      <c r="D59" s="70">
        <v>1</v>
      </c>
      <c r="E59" s="31">
        <v>99.6</v>
      </c>
      <c r="F59" s="1">
        <v>99.5</v>
      </c>
      <c r="I59" s="1">
        <v>0.98</v>
      </c>
      <c r="J59" s="23">
        <v>0.98</v>
      </c>
      <c r="K59" s="55">
        <f t="shared" si="0"/>
        <v>99.55</v>
      </c>
      <c r="L59" s="41">
        <f t="shared" si="1"/>
        <v>0</v>
      </c>
      <c r="M59" s="34">
        <f t="shared" si="2"/>
        <v>0.98</v>
      </c>
      <c r="N59" s="80">
        <f t="shared" si="3"/>
        <v>4.5000000000000283E-3</v>
      </c>
      <c r="O59" s="44"/>
      <c r="P59" s="130">
        <f t="shared" si="5"/>
        <v>2.0000000000000018E-2</v>
      </c>
      <c r="Q59" s="142" t="s">
        <v>22</v>
      </c>
      <c r="R59" s="142">
        <f t="shared" si="6"/>
        <v>2.2482893450635384</v>
      </c>
      <c r="S59" s="3"/>
    </row>
    <row r="60" spans="1:19" x14ac:dyDescent="0.3">
      <c r="A60" s="122"/>
      <c r="B60" s="55">
        <v>100</v>
      </c>
      <c r="C60" s="41">
        <v>9</v>
      </c>
      <c r="D60" s="34">
        <v>3.3</v>
      </c>
      <c r="E60" s="31">
        <v>99.7</v>
      </c>
      <c r="F60" s="1">
        <v>99.5</v>
      </c>
      <c r="I60" s="1">
        <v>3.21</v>
      </c>
      <c r="J60" s="23">
        <v>3.21</v>
      </c>
      <c r="K60" s="55">
        <f t="shared" si="0"/>
        <v>99.6</v>
      </c>
      <c r="L60" s="41">
        <f t="shared" si="1"/>
        <v>0</v>
      </c>
      <c r="M60" s="34">
        <f t="shared" si="2"/>
        <v>3.21</v>
      </c>
      <c r="N60" s="80">
        <f t="shared" si="3"/>
        <v>4.0000000000000565E-3</v>
      </c>
      <c r="O60" s="44"/>
      <c r="P60" s="130">
        <f t="shared" si="5"/>
        <v>2.727272727272723E-2</v>
      </c>
      <c r="Q60" s="142" t="s">
        <v>23</v>
      </c>
      <c r="R60" s="142">
        <f t="shared" si="6"/>
        <v>8.2568807339449535</v>
      </c>
      <c r="S60" s="3"/>
    </row>
    <row r="61" spans="1:19" x14ac:dyDescent="0.3">
      <c r="A61" s="122"/>
      <c r="B61" s="55">
        <v>100</v>
      </c>
      <c r="C61" s="41">
        <v>19.5</v>
      </c>
      <c r="D61" s="70">
        <v>6.8</v>
      </c>
      <c r="E61" s="31">
        <v>98.3</v>
      </c>
      <c r="F61" s="1">
        <v>99.8</v>
      </c>
      <c r="I61" s="1">
        <v>6.73</v>
      </c>
      <c r="J61" s="23">
        <v>6.74</v>
      </c>
      <c r="K61" s="55">
        <f t="shared" si="0"/>
        <v>99.05</v>
      </c>
      <c r="L61" s="41">
        <f t="shared" si="1"/>
        <v>0</v>
      </c>
      <c r="M61" s="34">
        <f t="shared" si="2"/>
        <v>6.7350000000000003</v>
      </c>
      <c r="N61" s="80">
        <f t="shared" si="3"/>
        <v>9.5000000000000293E-3</v>
      </c>
      <c r="O61" s="44"/>
      <c r="P61" s="130">
        <f t="shared" si="5"/>
        <v>9.5588235294116926E-3</v>
      </c>
      <c r="Q61" s="142" t="s">
        <v>26</v>
      </c>
      <c r="R61" s="142">
        <f t="shared" si="6"/>
        <v>16.317991631799163</v>
      </c>
      <c r="S61" s="3"/>
    </row>
    <row r="62" spans="1:19" ht="14.5" thickBot="1" x14ac:dyDescent="0.35">
      <c r="A62" s="123"/>
      <c r="B62" s="56">
        <v>100</v>
      </c>
      <c r="C62" s="8">
        <v>22</v>
      </c>
      <c r="D62" s="72">
        <v>10</v>
      </c>
      <c r="E62" s="32">
        <v>99.8</v>
      </c>
      <c r="F62" s="8">
        <v>99.7</v>
      </c>
      <c r="G62" s="8"/>
      <c r="H62" s="8"/>
      <c r="I62" s="8">
        <v>11.09</v>
      </c>
      <c r="J62" s="24">
        <v>9.33</v>
      </c>
      <c r="K62" s="56">
        <f t="shared" si="0"/>
        <v>99.75</v>
      </c>
      <c r="L62" s="43">
        <f t="shared" si="1"/>
        <v>0</v>
      </c>
      <c r="M62" s="77">
        <f t="shared" si="2"/>
        <v>10.210000000000001</v>
      </c>
      <c r="N62" s="81">
        <f t="shared" si="3"/>
        <v>2.5000000000000001E-3</v>
      </c>
      <c r="O62" s="51"/>
      <c r="P62" s="131">
        <f t="shared" si="5"/>
        <v>2.1000000000000085E-2</v>
      </c>
      <c r="Q62" s="145" t="s">
        <v>24</v>
      </c>
      <c r="R62" s="145">
        <f t="shared" si="6"/>
        <v>18.032786885245901</v>
      </c>
      <c r="S62" s="3"/>
    </row>
    <row r="63" spans="1:19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45"/>
      <c r="L63" s="45"/>
      <c r="M63" s="40"/>
      <c r="N63" s="42"/>
      <c r="O63" s="42"/>
      <c r="P63" s="42"/>
      <c r="Q63" s="45"/>
      <c r="R63" s="45"/>
    </row>
    <row r="64" spans="1:19" x14ac:dyDescent="0.3">
      <c r="K64" s="41"/>
      <c r="L64" s="41"/>
      <c r="M64" s="33"/>
      <c r="N64" s="44"/>
      <c r="O64" s="44"/>
      <c r="P64" s="44"/>
    </row>
    <row r="65" spans="11:16" x14ac:dyDescent="0.3">
      <c r="K65" s="41"/>
      <c r="L65" s="41"/>
      <c r="M65" s="33"/>
      <c r="N65" s="44"/>
      <c r="O65" s="44"/>
      <c r="P65" s="44"/>
    </row>
    <row r="66" spans="11:16" x14ac:dyDescent="0.3">
      <c r="K66" s="41"/>
      <c r="L66" s="41"/>
      <c r="M66" s="33"/>
      <c r="N66" s="44"/>
      <c r="O66" s="44"/>
      <c r="P66" s="44"/>
    </row>
    <row r="67" spans="11:16" x14ac:dyDescent="0.3">
      <c r="K67" s="41"/>
      <c r="L67" s="41"/>
      <c r="M67" s="33"/>
      <c r="N67" s="44"/>
      <c r="O67" s="44"/>
      <c r="P67" s="44"/>
    </row>
    <row r="68" spans="11:16" x14ac:dyDescent="0.3">
      <c r="K68" s="41"/>
      <c r="L68" s="41"/>
      <c r="M68" s="33"/>
      <c r="N68" s="44"/>
      <c r="O68" s="44"/>
      <c r="P68" s="44"/>
    </row>
    <row r="69" spans="11:16" x14ac:dyDescent="0.3">
      <c r="K69" s="41"/>
      <c r="L69" s="41"/>
      <c r="M69" s="33"/>
      <c r="N69" s="44"/>
      <c r="O69" s="44"/>
      <c r="P69" s="44"/>
    </row>
    <row r="70" spans="11:16" x14ac:dyDescent="0.3">
      <c r="K70" s="41"/>
      <c r="L70" s="41"/>
      <c r="M70" s="33"/>
      <c r="N70" s="44"/>
      <c r="O70" s="44"/>
      <c r="P70" s="44"/>
    </row>
    <row r="71" spans="11:16" x14ac:dyDescent="0.3">
      <c r="K71" s="41"/>
      <c r="L71" s="41"/>
      <c r="M71" s="33"/>
      <c r="N71" s="44"/>
      <c r="O71" s="44"/>
      <c r="P71" s="44"/>
    </row>
    <row r="72" spans="11:16" x14ac:dyDescent="0.3">
      <c r="K72" s="41"/>
      <c r="L72" s="41"/>
      <c r="M72" s="33"/>
      <c r="N72" s="44"/>
      <c r="O72" s="44"/>
      <c r="P72" s="44"/>
    </row>
    <row r="73" spans="11:16" x14ac:dyDescent="0.3">
      <c r="K73" s="41"/>
      <c r="L73" s="41"/>
      <c r="M73" s="33"/>
      <c r="N73" s="44"/>
      <c r="O73" s="44"/>
      <c r="P73" s="44"/>
    </row>
    <row r="74" spans="11:16" x14ac:dyDescent="0.3">
      <c r="P74" s="44"/>
    </row>
    <row r="75" spans="11:16" x14ac:dyDescent="0.3">
      <c r="P75" s="44"/>
    </row>
  </sheetData>
  <mergeCells count="22">
    <mergeCell ref="A22:A38"/>
    <mergeCell ref="A39:A50"/>
    <mergeCell ref="A51:A62"/>
    <mergeCell ref="A1:A3"/>
    <mergeCell ref="K2:K3"/>
    <mergeCell ref="L2:L3"/>
    <mergeCell ref="M2:M3"/>
    <mergeCell ref="N2:N3"/>
    <mergeCell ref="O2:O3"/>
    <mergeCell ref="P2:P3"/>
    <mergeCell ref="A10:A21"/>
    <mergeCell ref="B2:B3"/>
    <mergeCell ref="C2:C3"/>
    <mergeCell ref="D2:D3"/>
    <mergeCell ref="A4:A9"/>
    <mergeCell ref="E2:F2"/>
    <mergeCell ref="G2:H2"/>
    <mergeCell ref="I2:J2"/>
    <mergeCell ref="B1:D1"/>
    <mergeCell ref="E1:J1"/>
    <mergeCell ref="K1:M1"/>
    <mergeCell ref="N1:P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108E-3E17-4384-BCD2-935286D243BA}">
  <dimension ref="A1:Q57"/>
  <sheetViews>
    <sheetView tabSelected="1" topLeftCell="A19" workbookViewId="0">
      <selection activeCell="R32" sqref="R32"/>
    </sheetView>
  </sheetViews>
  <sheetFormatPr defaultRowHeight="14" x14ac:dyDescent="0.3"/>
  <cols>
    <col min="1" max="1" width="12.9140625" style="89" customWidth="1"/>
    <col min="2" max="2" width="9.25" style="10" customWidth="1"/>
    <col min="3" max="4" width="8.6640625" style="10"/>
    <col min="5" max="5" width="8.6640625" style="26"/>
    <col min="6" max="16384" width="8.6640625" style="10"/>
  </cols>
  <sheetData>
    <row r="1" spans="1:17" x14ac:dyDescent="0.3">
      <c r="A1" s="163"/>
      <c r="B1" s="29" t="s">
        <v>2</v>
      </c>
      <c r="C1" s="28"/>
      <c r="D1" s="61"/>
      <c r="E1" s="29" t="s">
        <v>3</v>
      </c>
      <c r="F1" s="28"/>
      <c r="G1" s="28"/>
      <c r="H1" s="28"/>
      <c r="I1" s="28"/>
      <c r="J1" s="61"/>
      <c r="K1" s="60" t="s">
        <v>9</v>
      </c>
      <c r="L1" s="28"/>
      <c r="M1" s="61"/>
      <c r="N1" s="60" t="s">
        <v>4</v>
      </c>
      <c r="O1" s="28"/>
      <c r="P1" s="61"/>
      <c r="Q1" s="26"/>
    </row>
    <row r="2" spans="1:17" x14ac:dyDescent="0.3">
      <c r="A2" s="164"/>
      <c r="B2" s="12" t="s">
        <v>30</v>
      </c>
      <c r="C2" s="6" t="s">
        <v>13</v>
      </c>
      <c r="D2" s="110" t="s">
        <v>6</v>
      </c>
      <c r="E2" s="12" t="s">
        <v>28</v>
      </c>
      <c r="F2" s="6"/>
      <c r="G2" s="6" t="s">
        <v>10</v>
      </c>
      <c r="H2" s="6"/>
      <c r="I2" s="6" t="s">
        <v>11</v>
      </c>
      <c r="J2" s="110"/>
      <c r="K2" s="99" t="s">
        <v>28</v>
      </c>
      <c r="L2" s="6" t="s">
        <v>10</v>
      </c>
      <c r="M2" s="110" t="s">
        <v>11</v>
      </c>
      <c r="N2" s="113" t="s">
        <v>0</v>
      </c>
      <c r="O2" s="6" t="s">
        <v>10</v>
      </c>
      <c r="P2" s="110" t="s">
        <v>11</v>
      </c>
      <c r="Q2" s="26"/>
    </row>
    <row r="3" spans="1:17" ht="14.5" thickBot="1" x14ac:dyDescent="0.35">
      <c r="A3" s="165"/>
      <c r="B3" s="74"/>
      <c r="C3" s="13"/>
      <c r="D3" s="63"/>
      <c r="E3" s="95" t="s">
        <v>7</v>
      </c>
      <c r="F3" s="20" t="s">
        <v>8</v>
      </c>
      <c r="G3" s="20" t="s">
        <v>7</v>
      </c>
      <c r="H3" s="20" t="s">
        <v>8</v>
      </c>
      <c r="I3" s="20" t="s">
        <v>7</v>
      </c>
      <c r="J3" s="88" t="s">
        <v>8</v>
      </c>
      <c r="K3" s="62"/>
      <c r="L3" s="13"/>
      <c r="M3" s="63"/>
      <c r="N3" s="78"/>
      <c r="O3" s="13"/>
      <c r="P3" s="63"/>
      <c r="Q3" s="26"/>
    </row>
    <row r="4" spans="1:17" x14ac:dyDescent="0.3">
      <c r="A4" s="163" t="s">
        <v>0</v>
      </c>
      <c r="B4" s="108">
        <v>1</v>
      </c>
      <c r="C4" s="86"/>
      <c r="D4" s="30"/>
      <c r="E4" s="108">
        <v>1.05</v>
      </c>
      <c r="F4" s="86">
        <v>1.05</v>
      </c>
      <c r="G4" s="86"/>
      <c r="H4" s="86"/>
      <c r="I4" s="86"/>
      <c r="J4" s="30"/>
      <c r="K4" s="27">
        <f>(E4+F4)/2</f>
        <v>1.05</v>
      </c>
      <c r="L4" s="86">
        <f>(G4+H4)/2</f>
        <v>0</v>
      </c>
      <c r="M4" s="30">
        <f>(I4+J4)/2</f>
        <v>0</v>
      </c>
      <c r="N4" s="114">
        <f>(ABS(K4-B4))/B4</f>
        <v>5.0000000000000044E-2</v>
      </c>
      <c r="O4" s="102"/>
      <c r="P4" s="103"/>
      <c r="Q4" s="26"/>
    </row>
    <row r="5" spans="1:17" x14ac:dyDescent="0.3">
      <c r="A5" s="164"/>
      <c r="B5" s="26">
        <v>20</v>
      </c>
      <c r="D5" s="112"/>
      <c r="E5" s="26">
        <v>20.29</v>
      </c>
      <c r="F5" s="10">
        <v>20.29</v>
      </c>
      <c r="J5" s="112"/>
      <c r="K5" s="111">
        <f t="shared" ref="K5:K56" si="0">(E5+F5)/2</f>
        <v>20.29</v>
      </c>
      <c r="L5" s="10">
        <f t="shared" ref="L5:L56" si="1">(G5+H5)/2</f>
        <v>0</v>
      </c>
      <c r="M5" s="112">
        <f t="shared" ref="M5:M56" si="2">(I5+J5)/2</f>
        <v>0</v>
      </c>
      <c r="N5" s="115">
        <f t="shared" ref="N5:N56" si="3">(ABS(K5-B5))/B5</f>
        <v>1.4499999999999957E-2</v>
      </c>
      <c r="O5" s="93"/>
      <c r="P5" s="104"/>
      <c r="Q5" s="26"/>
    </row>
    <row r="6" spans="1:17" x14ac:dyDescent="0.3">
      <c r="A6" s="164"/>
      <c r="B6" s="26">
        <v>51</v>
      </c>
      <c r="D6" s="112"/>
      <c r="E6" s="26">
        <v>50.68</v>
      </c>
      <c r="F6" s="10">
        <v>50.69</v>
      </c>
      <c r="J6" s="112"/>
      <c r="K6" s="111">
        <f t="shared" si="0"/>
        <v>50.685000000000002</v>
      </c>
      <c r="L6" s="10">
        <f t="shared" si="1"/>
        <v>0</v>
      </c>
      <c r="M6" s="112">
        <f t="shared" si="2"/>
        <v>0</v>
      </c>
      <c r="N6" s="115">
        <f t="shared" si="3"/>
        <v>6.1764705882352494E-3</v>
      </c>
      <c r="O6" s="93"/>
      <c r="P6" s="104"/>
      <c r="Q6" s="26"/>
    </row>
    <row r="7" spans="1:17" x14ac:dyDescent="0.3">
      <c r="A7" s="164"/>
      <c r="B7" s="26">
        <v>100</v>
      </c>
      <c r="D7" s="112"/>
      <c r="E7" s="26">
        <v>101.6</v>
      </c>
      <c r="F7" s="10">
        <v>101.59</v>
      </c>
      <c r="J7" s="112"/>
      <c r="K7" s="111">
        <f t="shared" si="0"/>
        <v>101.595</v>
      </c>
      <c r="L7" s="10">
        <f t="shared" si="1"/>
        <v>0</v>
      </c>
      <c r="M7" s="112">
        <f t="shared" si="2"/>
        <v>0</v>
      </c>
      <c r="N7" s="115">
        <f t="shared" si="3"/>
        <v>1.5949999999999988E-2</v>
      </c>
      <c r="O7" s="93"/>
      <c r="P7" s="104"/>
      <c r="Q7" s="26"/>
    </row>
    <row r="8" spans="1:17" x14ac:dyDescent="0.3">
      <c r="A8" s="164"/>
      <c r="B8" s="26">
        <v>200</v>
      </c>
      <c r="D8" s="112"/>
      <c r="E8" s="26">
        <v>200.91</v>
      </c>
      <c r="F8" s="10">
        <v>200.9</v>
      </c>
      <c r="J8" s="112"/>
      <c r="K8" s="111">
        <f t="shared" si="0"/>
        <v>200.905</v>
      </c>
      <c r="L8" s="10">
        <f t="shared" si="1"/>
        <v>0</v>
      </c>
      <c r="M8" s="112">
        <f t="shared" si="2"/>
        <v>0</v>
      </c>
      <c r="N8" s="115">
        <f t="shared" si="3"/>
        <v>4.5250000000000056E-3</v>
      </c>
      <c r="O8" s="93"/>
      <c r="P8" s="104"/>
      <c r="Q8" s="26"/>
    </row>
    <row r="9" spans="1:17" x14ac:dyDescent="0.3">
      <c r="A9" s="164"/>
      <c r="B9" s="26">
        <v>510</v>
      </c>
      <c r="D9" s="112"/>
      <c r="E9" s="26">
        <v>513.41</v>
      </c>
      <c r="F9" s="10">
        <v>513.33000000000004</v>
      </c>
      <c r="J9" s="112"/>
      <c r="K9" s="111">
        <f t="shared" si="0"/>
        <v>513.37</v>
      </c>
      <c r="L9" s="10">
        <f t="shared" si="1"/>
        <v>0</v>
      </c>
      <c r="M9" s="112">
        <f t="shared" si="2"/>
        <v>0</v>
      </c>
      <c r="N9" s="115">
        <f t="shared" si="3"/>
        <v>6.607843137254911E-3</v>
      </c>
      <c r="O9" s="93"/>
      <c r="P9" s="104"/>
      <c r="Q9" s="26"/>
    </row>
    <row r="10" spans="1:17" x14ac:dyDescent="0.3">
      <c r="A10" s="164"/>
      <c r="B10" s="26">
        <v>1000</v>
      </c>
      <c r="D10" s="112"/>
      <c r="E10" s="26">
        <v>1001</v>
      </c>
      <c r="F10" s="10">
        <v>1010</v>
      </c>
      <c r="J10" s="112"/>
      <c r="K10" s="111">
        <f t="shared" si="0"/>
        <v>1005.5</v>
      </c>
      <c r="L10" s="10">
        <f t="shared" si="1"/>
        <v>0</v>
      </c>
      <c r="M10" s="112">
        <f t="shared" si="2"/>
        <v>0</v>
      </c>
      <c r="N10" s="115">
        <f t="shared" si="3"/>
        <v>5.4999999999999997E-3</v>
      </c>
      <c r="O10" s="93"/>
      <c r="P10" s="104"/>
      <c r="Q10" s="26"/>
    </row>
    <row r="11" spans="1:17" x14ac:dyDescent="0.3">
      <c r="A11" s="164"/>
      <c r="B11" s="26">
        <v>2000</v>
      </c>
      <c r="D11" s="112"/>
      <c r="E11" s="26">
        <v>2017</v>
      </c>
      <c r="F11" s="10">
        <v>2017</v>
      </c>
      <c r="J11" s="112"/>
      <c r="K11" s="111">
        <f t="shared" si="0"/>
        <v>2017</v>
      </c>
      <c r="L11" s="10">
        <f t="shared" si="1"/>
        <v>0</v>
      </c>
      <c r="M11" s="112">
        <f t="shared" si="2"/>
        <v>0</v>
      </c>
      <c r="N11" s="115">
        <f t="shared" si="3"/>
        <v>8.5000000000000006E-3</v>
      </c>
      <c r="O11" s="93"/>
      <c r="P11" s="104"/>
      <c r="Q11" s="26"/>
    </row>
    <row r="12" spans="1:17" x14ac:dyDescent="0.3">
      <c r="A12" s="164"/>
      <c r="B12" s="26">
        <v>5100</v>
      </c>
      <c r="D12" s="112"/>
      <c r="E12" s="26">
        <v>5050</v>
      </c>
      <c r="F12" s="10">
        <v>5050</v>
      </c>
      <c r="J12" s="112"/>
      <c r="K12" s="111">
        <f t="shared" si="0"/>
        <v>5050</v>
      </c>
      <c r="L12" s="10">
        <f t="shared" si="1"/>
        <v>0</v>
      </c>
      <c r="M12" s="112">
        <f t="shared" si="2"/>
        <v>0</v>
      </c>
      <c r="N12" s="115">
        <f t="shared" si="3"/>
        <v>9.8039215686274508E-3</v>
      </c>
      <c r="O12" s="93"/>
      <c r="P12" s="104"/>
      <c r="Q12" s="26"/>
    </row>
    <row r="13" spans="1:17" x14ac:dyDescent="0.3">
      <c r="A13" s="164"/>
      <c r="B13" s="26">
        <v>10000</v>
      </c>
      <c r="D13" s="112"/>
      <c r="E13" s="26">
        <v>9915</v>
      </c>
      <c r="F13" s="10">
        <v>9914</v>
      </c>
      <c r="J13" s="112"/>
      <c r="K13" s="111">
        <f t="shared" si="0"/>
        <v>9914.5</v>
      </c>
      <c r="L13" s="10">
        <f t="shared" si="1"/>
        <v>0</v>
      </c>
      <c r="M13" s="112">
        <f t="shared" si="2"/>
        <v>0</v>
      </c>
      <c r="N13" s="115">
        <f t="shared" si="3"/>
        <v>8.5500000000000003E-3</v>
      </c>
      <c r="O13" s="93"/>
      <c r="P13" s="104"/>
      <c r="Q13" s="26"/>
    </row>
    <row r="14" spans="1:17" x14ac:dyDescent="0.3">
      <c r="A14" s="164"/>
      <c r="B14" s="26">
        <v>20000</v>
      </c>
      <c r="D14" s="112"/>
      <c r="E14" s="26">
        <v>20140</v>
      </c>
      <c r="F14" s="10">
        <v>20144</v>
      </c>
      <c r="J14" s="112"/>
      <c r="K14" s="111">
        <f t="shared" si="0"/>
        <v>20142</v>
      </c>
      <c r="L14" s="10">
        <f t="shared" si="1"/>
        <v>0</v>
      </c>
      <c r="M14" s="112">
        <f t="shared" si="2"/>
        <v>0</v>
      </c>
      <c r="N14" s="115">
        <f t="shared" si="3"/>
        <v>7.1000000000000004E-3</v>
      </c>
      <c r="O14" s="93"/>
      <c r="P14" s="104"/>
      <c r="Q14" s="26"/>
    </row>
    <row r="15" spans="1:17" x14ac:dyDescent="0.3">
      <c r="A15" s="164"/>
      <c r="B15" s="26">
        <v>51000</v>
      </c>
      <c r="D15" s="112"/>
      <c r="E15" s="26">
        <v>51022</v>
      </c>
      <c r="F15" s="10">
        <v>51045</v>
      </c>
      <c r="J15" s="112"/>
      <c r="K15" s="111">
        <f t="shared" si="0"/>
        <v>51033.5</v>
      </c>
      <c r="L15" s="10">
        <f t="shared" si="1"/>
        <v>0</v>
      </c>
      <c r="M15" s="112">
        <f t="shared" si="2"/>
        <v>0</v>
      </c>
      <c r="N15" s="115">
        <f t="shared" si="3"/>
        <v>6.5686274509803918E-4</v>
      </c>
      <c r="O15" s="93"/>
      <c r="P15" s="104"/>
      <c r="Q15" s="26"/>
    </row>
    <row r="16" spans="1:17" x14ac:dyDescent="0.3">
      <c r="A16" s="164" t="s">
        <v>29</v>
      </c>
      <c r="B16" s="26">
        <v>100</v>
      </c>
      <c r="D16" s="112"/>
      <c r="E16" s="26">
        <v>96.77</v>
      </c>
      <c r="F16" s="10">
        <v>96.76</v>
      </c>
      <c r="J16" s="112"/>
      <c r="K16" s="111">
        <f t="shared" si="0"/>
        <v>96.765000000000001</v>
      </c>
      <c r="L16" s="10">
        <f t="shared" si="1"/>
        <v>0</v>
      </c>
      <c r="M16" s="112">
        <f t="shared" si="2"/>
        <v>0</v>
      </c>
      <c r="N16" s="115">
        <f t="shared" si="3"/>
        <v>3.2349999999999997E-2</v>
      </c>
      <c r="O16" s="93"/>
      <c r="P16" s="104"/>
      <c r="Q16" s="26"/>
    </row>
    <row r="17" spans="1:17" s="151" customFormat="1" x14ac:dyDescent="0.3">
      <c r="A17" s="164"/>
      <c r="B17" s="156">
        <v>220</v>
      </c>
      <c r="D17" s="152"/>
      <c r="E17" s="156">
        <v>204.31</v>
      </c>
      <c r="F17" s="151">
        <v>204.29</v>
      </c>
      <c r="J17" s="152"/>
      <c r="K17" s="150">
        <f t="shared" si="0"/>
        <v>204.3</v>
      </c>
      <c r="L17" s="151">
        <f t="shared" si="1"/>
        <v>0</v>
      </c>
      <c r="M17" s="152">
        <f t="shared" si="2"/>
        <v>0</v>
      </c>
      <c r="N17" s="153">
        <f t="shared" si="3"/>
        <v>7.136363636363631E-2</v>
      </c>
      <c r="O17" s="154"/>
      <c r="P17" s="155"/>
      <c r="Q17" s="156"/>
    </row>
    <row r="18" spans="1:17" x14ac:dyDescent="0.3">
      <c r="A18" s="164"/>
      <c r="B18" s="26">
        <v>300</v>
      </c>
      <c r="D18" s="112"/>
      <c r="E18" s="26">
        <v>313.62</v>
      </c>
      <c r="F18" s="10">
        <v>313.60000000000002</v>
      </c>
      <c r="J18" s="112"/>
      <c r="K18" s="111">
        <f t="shared" si="0"/>
        <v>313.61</v>
      </c>
      <c r="L18" s="10">
        <f t="shared" si="1"/>
        <v>0</v>
      </c>
      <c r="M18" s="112">
        <f t="shared" si="2"/>
        <v>0</v>
      </c>
      <c r="N18" s="115">
        <f t="shared" si="3"/>
        <v>4.5366666666666715E-2</v>
      </c>
      <c r="O18" s="93"/>
      <c r="P18" s="104"/>
      <c r="Q18" s="26"/>
    </row>
    <row r="19" spans="1:17" ht="14.5" thickBot="1" x14ac:dyDescent="0.35">
      <c r="A19" s="166"/>
      <c r="B19" s="109">
        <v>1000</v>
      </c>
      <c r="C19" s="19"/>
      <c r="D19" s="85"/>
      <c r="E19" s="109">
        <v>1022.27</v>
      </c>
      <c r="F19" s="19">
        <v>1022.3</v>
      </c>
      <c r="G19" s="19"/>
      <c r="H19" s="19"/>
      <c r="I19" s="19"/>
      <c r="J19" s="85"/>
      <c r="K19" s="84">
        <f t="shared" si="0"/>
        <v>1022.285</v>
      </c>
      <c r="L19" s="19">
        <f t="shared" si="1"/>
        <v>0</v>
      </c>
      <c r="M19" s="85">
        <f t="shared" si="2"/>
        <v>0</v>
      </c>
      <c r="N19" s="116">
        <f t="shared" si="3"/>
        <v>2.2284999999999968E-2</v>
      </c>
      <c r="O19" s="105"/>
      <c r="P19" s="106"/>
      <c r="Q19" s="26"/>
    </row>
    <row r="20" spans="1:17" x14ac:dyDescent="0.3">
      <c r="A20" s="90" t="s">
        <v>11</v>
      </c>
      <c r="B20" s="108">
        <v>0.5</v>
      </c>
      <c r="C20" s="86"/>
      <c r="D20" s="30">
        <v>0.1</v>
      </c>
      <c r="E20" s="108">
        <v>0.43</v>
      </c>
      <c r="F20" s="86">
        <v>0.44</v>
      </c>
      <c r="G20" s="86"/>
      <c r="H20" s="86"/>
      <c r="I20" s="86">
        <v>9.9000000000000005E-2</v>
      </c>
      <c r="J20" s="30">
        <v>9.9000000000000005E-2</v>
      </c>
      <c r="K20" s="27">
        <f t="shared" si="0"/>
        <v>0.435</v>
      </c>
      <c r="L20" s="86">
        <f t="shared" si="1"/>
        <v>0</v>
      </c>
      <c r="M20" s="30">
        <f t="shared" si="2"/>
        <v>9.9000000000000005E-2</v>
      </c>
      <c r="N20" s="114">
        <f t="shared" si="3"/>
        <v>0.13</v>
      </c>
      <c r="O20" s="102"/>
      <c r="P20" s="103">
        <f t="shared" ref="P5:P57" si="4">(ABS(M20-D20))/D20</f>
        <v>1.0000000000000009E-2</v>
      </c>
      <c r="Q20" s="26"/>
    </row>
    <row r="21" spans="1:17" x14ac:dyDescent="0.3">
      <c r="A21" s="91"/>
      <c r="B21" s="26">
        <v>0.8</v>
      </c>
      <c r="D21" s="112">
        <v>0.15</v>
      </c>
      <c r="E21" s="26">
        <v>0.83</v>
      </c>
      <c r="F21" s="10">
        <v>0.85</v>
      </c>
      <c r="I21" s="10">
        <v>0.14399999999999999</v>
      </c>
      <c r="J21" s="112">
        <v>0.14399999999999999</v>
      </c>
      <c r="K21" s="111">
        <f t="shared" si="0"/>
        <v>0.84</v>
      </c>
      <c r="L21" s="10">
        <f t="shared" si="1"/>
        <v>0</v>
      </c>
      <c r="M21" s="112">
        <f t="shared" si="2"/>
        <v>0.14399999999999999</v>
      </c>
      <c r="N21" s="115">
        <f t="shared" si="3"/>
        <v>4.9999999999999906E-2</v>
      </c>
      <c r="O21" s="93"/>
      <c r="P21" s="104">
        <f t="shared" si="4"/>
        <v>4.0000000000000036E-2</v>
      </c>
      <c r="Q21" s="26"/>
    </row>
    <row r="22" spans="1:17" x14ac:dyDescent="0.3">
      <c r="A22" s="91"/>
      <c r="B22" s="26">
        <v>0.9</v>
      </c>
      <c r="D22" s="112">
        <v>0.22</v>
      </c>
      <c r="E22" s="26">
        <v>0.92</v>
      </c>
      <c r="F22" s="10">
        <v>0.91</v>
      </c>
      <c r="I22" s="10">
        <v>0.218</v>
      </c>
      <c r="J22" s="112">
        <v>0.218</v>
      </c>
      <c r="K22" s="111">
        <f t="shared" si="0"/>
        <v>0.91500000000000004</v>
      </c>
      <c r="L22" s="10">
        <f t="shared" si="1"/>
        <v>0</v>
      </c>
      <c r="M22" s="112">
        <f t="shared" si="2"/>
        <v>0.218</v>
      </c>
      <c r="N22" s="115">
        <f t="shared" si="3"/>
        <v>1.666666666666668E-2</v>
      </c>
      <c r="O22" s="93"/>
      <c r="P22" s="104">
        <f t="shared" si="4"/>
        <v>9.0909090909090991E-3</v>
      </c>
      <c r="Q22" s="26"/>
    </row>
    <row r="23" spans="1:17" x14ac:dyDescent="0.3">
      <c r="A23" s="91"/>
      <c r="B23" s="26">
        <v>1.6</v>
      </c>
      <c r="D23" s="112">
        <v>0.33</v>
      </c>
      <c r="E23" s="26">
        <v>1.63</v>
      </c>
      <c r="F23" s="10">
        <v>1.62</v>
      </c>
      <c r="I23" s="10">
        <v>0.32200000000000001</v>
      </c>
      <c r="J23" s="112">
        <v>0.32100000000000001</v>
      </c>
      <c r="K23" s="111">
        <f t="shared" si="0"/>
        <v>1.625</v>
      </c>
      <c r="L23" s="10">
        <f t="shared" si="1"/>
        <v>0</v>
      </c>
      <c r="M23" s="112">
        <f t="shared" si="2"/>
        <v>0.32150000000000001</v>
      </c>
      <c r="N23" s="115">
        <f t="shared" si="3"/>
        <v>1.5624999999999944E-2</v>
      </c>
      <c r="O23" s="93"/>
      <c r="P23" s="104">
        <f t="shared" si="4"/>
        <v>2.5757575757575778E-2</v>
      </c>
      <c r="Q23" s="26"/>
    </row>
    <row r="24" spans="1:17" x14ac:dyDescent="0.3">
      <c r="A24" s="91"/>
      <c r="B24" s="26">
        <v>2</v>
      </c>
      <c r="D24" s="112">
        <v>0.47</v>
      </c>
      <c r="E24" s="26">
        <v>1.96</v>
      </c>
      <c r="F24" s="10">
        <v>1.96</v>
      </c>
      <c r="I24" s="10">
        <v>0.45900000000000002</v>
      </c>
      <c r="J24" s="112">
        <v>0.45800000000000002</v>
      </c>
      <c r="K24" s="111">
        <f t="shared" si="0"/>
        <v>1.96</v>
      </c>
      <c r="L24" s="10">
        <f t="shared" si="1"/>
        <v>0</v>
      </c>
      <c r="M24" s="112">
        <f t="shared" si="2"/>
        <v>0.45850000000000002</v>
      </c>
      <c r="N24" s="115">
        <f t="shared" si="3"/>
        <v>2.0000000000000018E-2</v>
      </c>
      <c r="O24" s="93"/>
      <c r="P24" s="104">
        <f t="shared" si="4"/>
        <v>2.4468085106382882E-2</v>
      </c>
      <c r="Q24" s="26"/>
    </row>
    <row r="25" spans="1:17" x14ac:dyDescent="0.3">
      <c r="A25" s="91"/>
      <c r="B25" s="26">
        <v>2.8</v>
      </c>
      <c r="D25" s="112">
        <v>1</v>
      </c>
      <c r="E25" s="26">
        <v>2.83</v>
      </c>
      <c r="F25" s="10">
        <v>2.87</v>
      </c>
      <c r="I25" s="10">
        <v>1.04</v>
      </c>
      <c r="J25" s="112">
        <v>1.04</v>
      </c>
      <c r="K25" s="111">
        <f t="shared" si="0"/>
        <v>2.85</v>
      </c>
      <c r="L25" s="10">
        <f t="shared" si="1"/>
        <v>0</v>
      </c>
      <c r="M25" s="112">
        <f t="shared" si="2"/>
        <v>1.04</v>
      </c>
      <c r="N25" s="115">
        <f t="shared" si="3"/>
        <v>1.7857142857142953E-2</v>
      </c>
      <c r="O25" s="93"/>
      <c r="P25" s="104">
        <f t="shared" si="4"/>
        <v>4.0000000000000036E-2</v>
      </c>
      <c r="Q25" s="26"/>
    </row>
    <row r="26" spans="1:17" x14ac:dyDescent="0.3">
      <c r="A26" s="91"/>
      <c r="B26" s="26">
        <v>6.8</v>
      </c>
      <c r="D26" s="112">
        <v>2.2000000000000002</v>
      </c>
      <c r="E26" s="26">
        <v>6.85</v>
      </c>
      <c r="F26" s="10">
        <v>6.86</v>
      </c>
      <c r="I26" s="10">
        <v>2.27</v>
      </c>
      <c r="J26" s="112">
        <v>2.27</v>
      </c>
      <c r="K26" s="111">
        <f t="shared" si="0"/>
        <v>6.8550000000000004</v>
      </c>
      <c r="L26" s="10">
        <f t="shared" si="1"/>
        <v>0</v>
      </c>
      <c r="M26" s="112">
        <f t="shared" si="2"/>
        <v>2.27</v>
      </c>
      <c r="N26" s="115">
        <f t="shared" si="3"/>
        <v>8.0882352941177363E-3</v>
      </c>
      <c r="O26" s="93"/>
      <c r="P26" s="104">
        <f t="shared" si="4"/>
        <v>3.1818181818181746E-2</v>
      </c>
      <c r="Q26" s="26"/>
    </row>
    <row r="27" spans="1:17" x14ac:dyDescent="0.3">
      <c r="A27" s="91"/>
      <c r="B27" s="26">
        <v>8.1999999999999993</v>
      </c>
      <c r="D27" s="112">
        <v>3.3</v>
      </c>
      <c r="E27" s="26">
        <v>8.41</v>
      </c>
      <c r="F27" s="10">
        <v>8.42</v>
      </c>
      <c r="I27" s="10">
        <v>3.28</v>
      </c>
      <c r="J27" s="112">
        <v>3.28</v>
      </c>
      <c r="K27" s="111">
        <f t="shared" si="0"/>
        <v>8.4149999999999991</v>
      </c>
      <c r="L27" s="10">
        <f t="shared" si="1"/>
        <v>0</v>
      </c>
      <c r="M27" s="112">
        <f t="shared" si="2"/>
        <v>3.28</v>
      </c>
      <c r="N27" s="115">
        <f t="shared" si="3"/>
        <v>2.6219512195121936E-2</v>
      </c>
      <c r="O27" s="93"/>
      <c r="P27" s="104">
        <f t="shared" si="4"/>
        <v>6.0606060606060667E-3</v>
      </c>
      <c r="Q27" s="26"/>
    </row>
    <row r="28" spans="1:17" x14ac:dyDescent="0.3">
      <c r="A28" s="91"/>
      <c r="B28" s="26">
        <v>13</v>
      </c>
      <c r="D28" s="112">
        <v>4.7</v>
      </c>
      <c r="E28" s="26">
        <v>13.48</v>
      </c>
      <c r="F28" s="10">
        <v>13.45</v>
      </c>
      <c r="I28" s="10">
        <v>4.83</v>
      </c>
      <c r="J28" s="112">
        <v>4.83</v>
      </c>
      <c r="K28" s="111">
        <f t="shared" si="0"/>
        <v>13.465</v>
      </c>
      <c r="L28" s="10">
        <f t="shared" si="1"/>
        <v>0</v>
      </c>
      <c r="M28" s="112">
        <f t="shared" si="2"/>
        <v>4.83</v>
      </c>
      <c r="N28" s="115">
        <f t="shared" si="3"/>
        <v>3.5769230769230762E-2</v>
      </c>
      <c r="O28" s="93"/>
      <c r="P28" s="104">
        <f t="shared" si="4"/>
        <v>2.7659574468085084E-2</v>
      </c>
      <c r="Q28" s="26"/>
    </row>
    <row r="29" spans="1:17" ht="14.5" thickBot="1" x14ac:dyDescent="0.35">
      <c r="A29" s="91"/>
      <c r="B29" s="95">
        <v>28.2</v>
      </c>
      <c r="C29" s="20"/>
      <c r="D29" s="88">
        <v>10</v>
      </c>
      <c r="E29" s="95">
        <v>29.34</v>
      </c>
      <c r="F29" s="20">
        <v>29.32</v>
      </c>
      <c r="G29" s="20"/>
      <c r="H29" s="20"/>
      <c r="I29" s="20">
        <v>10.7</v>
      </c>
      <c r="J29" s="88">
        <v>10.71</v>
      </c>
      <c r="K29" s="87">
        <f t="shared" si="0"/>
        <v>29.33</v>
      </c>
      <c r="L29" s="20">
        <f t="shared" si="1"/>
        <v>0</v>
      </c>
      <c r="M29" s="88">
        <f t="shared" si="2"/>
        <v>10.705</v>
      </c>
      <c r="N29" s="157">
        <f t="shared" si="3"/>
        <v>4.007092198581557E-2</v>
      </c>
      <c r="O29" s="158"/>
      <c r="P29" s="159">
        <f t="shared" si="4"/>
        <v>7.0500000000000007E-2</v>
      </c>
      <c r="Q29" s="26"/>
    </row>
    <row r="30" spans="1:17" ht="14.5" thickBot="1" x14ac:dyDescent="0.35">
      <c r="A30" s="163" t="s">
        <v>31</v>
      </c>
      <c r="B30" s="108">
        <v>32</v>
      </c>
      <c r="C30" s="86">
        <v>1</v>
      </c>
      <c r="D30" s="30"/>
      <c r="E30" s="108">
        <v>64.22</v>
      </c>
      <c r="F30" s="86">
        <v>65.23</v>
      </c>
      <c r="G30" s="86">
        <v>0.96</v>
      </c>
      <c r="H30" s="30">
        <v>0.96</v>
      </c>
      <c r="I30" s="86"/>
      <c r="J30" s="86"/>
      <c r="K30" s="27">
        <f t="shared" si="0"/>
        <v>64.724999999999994</v>
      </c>
      <c r="L30" s="160">
        <f t="shared" si="1"/>
        <v>0.96</v>
      </c>
      <c r="M30" s="161">
        <f t="shared" si="2"/>
        <v>0</v>
      </c>
      <c r="N30" s="114">
        <f t="shared" si="3"/>
        <v>1.0226562499999998</v>
      </c>
      <c r="O30" s="162">
        <f>(ABS(L30-C30))/C30</f>
        <v>4.0000000000000036E-2</v>
      </c>
      <c r="P30" s="103"/>
      <c r="Q30" s="26"/>
    </row>
    <row r="31" spans="1:17" ht="14.5" thickBot="1" x14ac:dyDescent="0.35">
      <c r="A31" s="164"/>
      <c r="B31" s="26">
        <v>32</v>
      </c>
      <c r="C31" s="10">
        <v>2.2000000000000002</v>
      </c>
      <c r="D31" s="112"/>
      <c r="E31" s="26">
        <v>50.68</v>
      </c>
      <c r="F31" s="10">
        <v>50.84</v>
      </c>
      <c r="G31" s="10">
        <v>2.02</v>
      </c>
      <c r="H31" s="10">
        <v>2.02</v>
      </c>
      <c r="J31" s="112"/>
      <c r="K31" s="111">
        <f t="shared" si="0"/>
        <v>50.760000000000005</v>
      </c>
      <c r="L31" s="19">
        <f t="shared" si="1"/>
        <v>2.02</v>
      </c>
      <c r="M31" s="85">
        <f t="shared" si="2"/>
        <v>0</v>
      </c>
      <c r="N31" s="115">
        <f t="shared" si="3"/>
        <v>0.58625000000000016</v>
      </c>
      <c r="O31" s="105">
        <f t="shared" ref="O5:O57" si="5">(ABS(L31-C31))/C31</f>
        <v>8.1818181818181887E-2</v>
      </c>
      <c r="P31" s="104"/>
      <c r="Q31" s="26"/>
    </row>
    <row r="32" spans="1:17" ht="14.5" thickBot="1" x14ac:dyDescent="0.35">
      <c r="A32" s="164"/>
      <c r="B32" s="26">
        <v>32</v>
      </c>
      <c r="C32" s="10">
        <v>4.7</v>
      </c>
      <c r="D32" s="112"/>
      <c r="E32" s="26">
        <v>42.21</v>
      </c>
      <c r="F32" s="10">
        <v>42.13</v>
      </c>
      <c r="G32" s="10">
        <v>4.34</v>
      </c>
      <c r="H32" s="10">
        <v>4.34</v>
      </c>
      <c r="J32" s="112"/>
      <c r="K32" s="111">
        <f t="shared" si="0"/>
        <v>42.17</v>
      </c>
      <c r="L32" s="19">
        <f t="shared" si="1"/>
        <v>4.34</v>
      </c>
      <c r="M32" s="85">
        <f t="shared" si="2"/>
        <v>0</v>
      </c>
      <c r="N32" s="115">
        <f t="shared" si="3"/>
        <v>0.31781250000000005</v>
      </c>
      <c r="O32" s="105">
        <f t="shared" si="5"/>
        <v>7.6595744680851133E-2</v>
      </c>
      <c r="P32" s="104"/>
      <c r="Q32" s="26"/>
    </row>
    <row r="33" spans="1:17" ht="14.5" thickBot="1" x14ac:dyDescent="0.35">
      <c r="A33" s="164"/>
      <c r="B33" s="26">
        <v>32</v>
      </c>
      <c r="C33" s="10">
        <v>10</v>
      </c>
      <c r="D33" s="112"/>
      <c r="E33" s="26">
        <v>38.06</v>
      </c>
      <c r="F33" s="10">
        <v>38.24</v>
      </c>
      <c r="G33" s="10">
        <v>9.0399999999999991</v>
      </c>
      <c r="H33" s="10">
        <v>9.0399999999999991</v>
      </c>
      <c r="J33" s="112"/>
      <c r="K33" s="111">
        <f t="shared" si="0"/>
        <v>38.150000000000006</v>
      </c>
      <c r="L33" s="19">
        <f t="shared" si="1"/>
        <v>9.0399999999999991</v>
      </c>
      <c r="M33" s="85">
        <f t="shared" si="2"/>
        <v>0</v>
      </c>
      <c r="N33" s="115">
        <f t="shared" si="3"/>
        <v>0.19218750000000018</v>
      </c>
      <c r="O33" s="105">
        <f t="shared" si="5"/>
        <v>9.6000000000000085E-2</v>
      </c>
      <c r="P33" s="104"/>
      <c r="Q33" s="26"/>
    </row>
    <row r="34" spans="1:17" ht="14.5" thickBot="1" x14ac:dyDescent="0.35">
      <c r="A34" s="164"/>
      <c r="B34" s="26">
        <v>32</v>
      </c>
      <c r="C34" s="10">
        <v>47</v>
      </c>
      <c r="D34" s="112"/>
      <c r="E34" s="26">
        <v>36.6</v>
      </c>
      <c r="F34" s="10">
        <v>36.58</v>
      </c>
      <c r="G34" s="10">
        <v>44.41</v>
      </c>
      <c r="H34" s="10">
        <v>44.42</v>
      </c>
      <c r="J34" s="112"/>
      <c r="K34" s="111">
        <f t="shared" si="0"/>
        <v>36.590000000000003</v>
      </c>
      <c r="L34" s="19">
        <f t="shared" si="1"/>
        <v>44.414999999999999</v>
      </c>
      <c r="M34" s="85">
        <f t="shared" si="2"/>
        <v>0</v>
      </c>
      <c r="N34" s="115">
        <f t="shared" si="3"/>
        <v>0.14343750000000011</v>
      </c>
      <c r="O34" s="105">
        <f t="shared" si="5"/>
        <v>5.5000000000000021E-2</v>
      </c>
      <c r="P34" s="104"/>
      <c r="Q34" s="26"/>
    </row>
    <row r="35" spans="1:17" ht="14.5" thickBot="1" x14ac:dyDescent="0.35">
      <c r="A35" s="164"/>
      <c r="B35" s="26">
        <v>32</v>
      </c>
      <c r="C35" s="10">
        <v>100</v>
      </c>
      <c r="D35" s="112"/>
      <c r="E35" s="26">
        <v>36.32</v>
      </c>
      <c r="F35" s="10">
        <v>36.33</v>
      </c>
      <c r="G35" s="10">
        <v>98.83</v>
      </c>
      <c r="H35" s="10">
        <v>98.93</v>
      </c>
      <c r="J35" s="112"/>
      <c r="K35" s="111">
        <f t="shared" si="0"/>
        <v>36.325000000000003</v>
      </c>
      <c r="L35" s="19">
        <f t="shared" si="1"/>
        <v>98.88</v>
      </c>
      <c r="M35" s="85">
        <f t="shared" si="2"/>
        <v>0</v>
      </c>
      <c r="N35" s="115">
        <f t="shared" si="3"/>
        <v>0.13515625000000009</v>
      </c>
      <c r="O35" s="105">
        <f t="shared" si="5"/>
        <v>1.1200000000000045E-2</v>
      </c>
      <c r="P35" s="104"/>
      <c r="Q35" s="26"/>
    </row>
    <row r="36" spans="1:17" ht="14.5" thickBot="1" x14ac:dyDescent="0.35">
      <c r="A36" s="164"/>
      <c r="B36" s="26">
        <v>32</v>
      </c>
      <c r="C36" s="10">
        <v>220</v>
      </c>
      <c r="D36" s="112"/>
      <c r="E36" s="26">
        <v>36.25</v>
      </c>
      <c r="F36" s="10">
        <v>36.22</v>
      </c>
      <c r="G36" s="10">
        <v>207.62</v>
      </c>
      <c r="H36" s="10">
        <v>207.94</v>
      </c>
      <c r="J36" s="112"/>
      <c r="K36" s="111">
        <f t="shared" si="0"/>
        <v>36.234999999999999</v>
      </c>
      <c r="L36" s="10">
        <f t="shared" si="1"/>
        <v>207.78</v>
      </c>
      <c r="M36" s="85">
        <f t="shared" si="2"/>
        <v>0</v>
      </c>
      <c r="N36" s="115">
        <f t="shared" si="3"/>
        <v>0.13234374999999998</v>
      </c>
      <c r="O36" s="105">
        <f t="shared" si="5"/>
        <v>5.5545454545454544E-2</v>
      </c>
      <c r="P36" s="104"/>
      <c r="Q36" s="26"/>
    </row>
    <row r="37" spans="1:17" ht="14.5" thickBot="1" x14ac:dyDescent="0.35">
      <c r="A37" s="164"/>
      <c r="B37" s="26">
        <v>32</v>
      </c>
      <c r="C37" s="10">
        <v>470</v>
      </c>
      <c r="D37" s="112"/>
      <c r="E37" s="26">
        <v>36.28</v>
      </c>
      <c r="F37" s="10">
        <v>36.29</v>
      </c>
      <c r="G37" s="10">
        <v>436.82</v>
      </c>
      <c r="H37" s="10">
        <v>437.17</v>
      </c>
      <c r="J37" s="112"/>
      <c r="K37" s="111">
        <f t="shared" si="0"/>
        <v>36.284999999999997</v>
      </c>
      <c r="L37" s="10">
        <f t="shared" si="1"/>
        <v>436.995</v>
      </c>
      <c r="M37" s="112">
        <f t="shared" si="2"/>
        <v>0</v>
      </c>
      <c r="N37" s="115">
        <f t="shared" si="3"/>
        <v>0.13390624999999989</v>
      </c>
      <c r="O37" s="105">
        <f t="shared" si="5"/>
        <v>7.0223404255319144E-2</v>
      </c>
      <c r="P37" s="104"/>
      <c r="Q37" s="26"/>
    </row>
    <row r="38" spans="1:17" ht="14.5" thickBot="1" x14ac:dyDescent="0.35">
      <c r="A38" s="91" t="s">
        <v>32</v>
      </c>
      <c r="B38" s="26">
        <v>32</v>
      </c>
      <c r="C38" s="10">
        <v>1</v>
      </c>
      <c r="D38" s="112"/>
      <c r="E38" s="26">
        <v>36.26</v>
      </c>
      <c r="F38" s="10">
        <v>36.36</v>
      </c>
      <c r="G38" s="10">
        <v>0.93500000000000005</v>
      </c>
      <c r="H38" s="10">
        <v>0.93700000000000006</v>
      </c>
      <c r="J38" s="112"/>
      <c r="K38" s="111">
        <f t="shared" si="0"/>
        <v>36.31</v>
      </c>
      <c r="L38" s="10">
        <f t="shared" si="1"/>
        <v>0.93600000000000005</v>
      </c>
      <c r="M38" s="112">
        <f t="shared" si="2"/>
        <v>0</v>
      </c>
      <c r="N38" s="115">
        <f t="shared" si="3"/>
        <v>0.13468750000000007</v>
      </c>
      <c r="O38" s="105">
        <f t="shared" si="5"/>
        <v>6.3999999999999946E-2</v>
      </c>
      <c r="P38" s="104"/>
      <c r="Q38" s="26"/>
    </row>
    <row r="39" spans="1:17" ht="14.5" thickBot="1" x14ac:dyDescent="0.35">
      <c r="A39" s="91"/>
      <c r="B39" s="26">
        <v>32</v>
      </c>
      <c r="C39" s="10">
        <v>2.2000000000000002</v>
      </c>
      <c r="D39" s="112"/>
      <c r="E39" s="26">
        <v>40.97</v>
      </c>
      <c r="F39" s="10">
        <v>40.700000000000003</v>
      </c>
      <c r="G39" s="10">
        <v>1.85</v>
      </c>
      <c r="H39" s="10">
        <v>1.85</v>
      </c>
      <c r="J39" s="112"/>
      <c r="K39" s="111">
        <f t="shared" si="0"/>
        <v>40.835000000000001</v>
      </c>
      <c r="L39" s="10">
        <f t="shared" si="1"/>
        <v>1.85</v>
      </c>
      <c r="M39" s="112">
        <f t="shared" si="2"/>
        <v>0</v>
      </c>
      <c r="N39" s="115">
        <f t="shared" si="3"/>
        <v>0.27609375000000003</v>
      </c>
      <c r="O39" s="105">
        <f t="shared" si="5"/>
        <v>0.15909090909090912</v>
      </c>
      <c r="P39" s="104"/>
      <c r="Q39" s="26"/>
    </row>
    <row r="40" spans="1:17" ht="14.5" thickBot="1" x14ac:dyDescent="0.35">
      <c r="A40" s="91"/>
      <c r="B40" s="26">
        <v>32</v>
      </c>
      <c r="C40" s="10">
        <v>4.7</v>
      </c>
      <c r="D40" s="112"/>
      <c r="E40" s="26">
        <v>39.950000000000003</v>
      </c>
      <c r="F40" s="10">
        <v>40.119999999999997</v>
      </c>
      <c r="G40" s="10">
        <v>4.03</v>
      </c>
      <c r="H40" s="10">
        <v>4.0599999999999996</v>
      </c>
      <c r="J40" s="112"/>
      <c r="K40" s="111">
        <f t="shared" si="0"/>
        <v>40.034999999999997</v>
      </c>
      <c r="L40" s="10">
        <f t="shared" si="1"/>
        <v>4.0449999999999999</v>
      </c>
      <c r="M40" s="112">
        <f t="shared" si="2"/>
        <v>0</v>
      </c>
      <c r="N40" s="115">
        <f t="shared" si="3"/>
        <v>0.25109374999999989</v>
      </c>
      <c r="O40" s="105">
        <f t="shared" si="5"/>
        <v>0.13936170212765961</v>
      </c>
      <c r="P40" s="104"/>
      <c r="Q40" s="26"/>
    </row>
    <row r="41" spans="1:17" x14ac:dyDescent="0.3">
      <c r="A41" s="91"/>
      <c r="B41" s="26">
        <v>32</v>
      </c>
      <c r="C41" s="10">
        <v>10</v>
      </c>
      <c r="D41" s="112"/>
      <c r="E41" s="26">
        <v>39.57</v>
      </c>
      <c r="F41" s="10">
        <v>39.619999999999997</v>
      </c>
      <c r="G41" s="10">
        <v>8.9</v>
      </c>
      <c r="H41" s="10">
        <v>9</v>
      </c>
      <c r="J41" s="112"/>
      <c r="K41" s="111">
        <f t="shared" si="0"/>
        <v>39.594999999999999</v>
      </c>
      <c r="L41" s="10">
        <f t="shared" si="1"/>
        <v>8.9499999999999993</v>
      </c>
      <c r="M41" s="112">
        <f t="shared" si="2"/>
        <v>0</v>
      </c>
      <c r="N41" s="115">
        <f t="shared" si="3"/>
        <v>0.23734374999999996</v>
      </c>
      <c r="O41" s="93">
        <f t="shared" si="5"/>
        <v>0.10500000000000007</v>
      </c>
      <c r="P41" s="104"/>
      <c r="Q41" s="26"/>
    </row>
    <row r="42" spans="1:17" x14ac:dyDescent="0.3">
      <c r="A42" s="91"/>
      <c r="B42" s="26">
        <v>32</v>
      </c>
      <c r="C42" s="10">
        <v>22</v>
      </c>
      <c r="D42" s="112"/>
      <c r="E42" s="26">
        <v>37.659999999999997</v>
      </c>
      <c r="F42" s="10">
        <v>37.729999999999997</v>
      </c>
      <c r="G42" s="10">
        <v>19.59</v>
      </c>
      <c r="H42" s="10">
        <v>19.489999999999998</v>
      </c>
      <c r="J42" s="112"/>
      <c r="K42" s="111">
        <f t="shared" si="0"/>
        <v>37.694999999999993</v>
      </c>
      <c r="L42" s="10">
        <f t="shared" si="1"/>
        <v>19.54</v>
      </c>
      <c r="M42" s="112">
        <f t="shared" si="2"/>
        <v>0</v>
      </c>
      <c r="N42" s="115">
        <f t="shared" si="3"/>
        <v>0.17796874999999979</v>
      </c>
      <c r="O42" s="93">
        <f t="shared" si="5"/>
        <v>0.11181818181818186</v>
      </c>
      <c r="P42" s="104"/>
      <c r="Q42" s="26"/>
    </row>
    <row r="43" spans="1:17" x14ac:dyDescent="0.3">
      <c r="A43" s="91"/>
      <c r="B43" s="26">
        <v>32</v>
      </c>
      <c r="C43" s="10">
        <v>47</v>
      </c>
      <c r="D43" s="112"/>
      <c r="E43" s="26">
        <v>36.97</v>
      </c>
      <c r="F43" s="10">
        <v>36.96</v>
      </c>
      <c r="G43" s="10">
        <v>44.79</v>
      </c>
      <c r="H43" s="10">
        <v>44.58</v>
      </c>
      <c r="J43" s="112"/>
      <c r="K43" s="111">
        <f t="shared" si="0"/>
        <v>36.965000000000003</v>
      </c>
      <c r="L43" s="10">
        <f t="shared" si="1"/>
        <v>44.685000000000002</v>
      </c>
      <c r="M43" s="112">
        <f t="shared" si="2"/>
        <v>0</v>
      </c>
      <c r="N43" s="115">
        <f t="shared" si="3"/>
        <v>0.15515625000000011</v>
      </c>
      <c r="O43" s="93">
        <f t="shared" si="5"/>
        <v>4.9255319148936119E-2</v>
      </c>
      <c r="P43" s="104"/>
      <c r="Q43" s="26"/>
    </row>
    <row r="44" spans="1:17" ht="14.5" thickBot="1" x14ac:dyDescent="0.35">
      <c r="A44" s="92"/>
      <c r="B44" s="109">
        <v>32</v>
      </c>
      <c r="C44" s="19">
        <v>100</v>
      </c>
      <c r="D44" s="85"/>
      <c r="E44" s="109">
        <v>36.11</v>
      </c>
      <c r="F44" s="19">
        <v>36.22</v>
      </c>
      <c r="G44" s="19">
        <v>78.56</v>
      </c>
      <c r="H44" s="19">
        <v>79.34</v>
      </c>
      <c r="I44" s="19"/>
      <c r="J44" s="85"/>
      <c r="K44" s="84">
        <f t="shared" si="0"/>
        <v>36.164999999999999</v>
      </c>
      <c r="L44" s="19">
        <f t="shared" si="1"/>
        <v>78.95</v>
      </c>
      <c r="M44" s="85">
        <f t="shared" si="2"/>
        <v>0</v>
      </c>
      <c r="N44" s="116">
        <f t="shared" si="3"/>
        <v>0.13015624999999997</v>
      </c>
      <c r="O44" s="105">
        <f t="shared" si="5"/>
        <v>0.21049999999999996</v>
      </c>
      <c r="P44" s="106"/>
      <c r="Q44" s="26"/>
    </row>
    <row r="45" spans="1:17" x14ac:dyDescent="0.3">
      <c r="A45" s="9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01"/>
      <c r="O45" s="101"/>
      <c r="P45" s="101"/>
      <c r="Q45" s="26"/>
    </row>
    <row r="46" spans="1:17" x14ac:dyDescent="0.3">
      <c r="E46" s="10"/>
      <c r="N46" s="93"/>
      <c r="O46" s="93"/>
      <c r="P46" s="93"/>
      <c r="Q46" s="26"/>
    </row>
    <row r="47" spans="1:17" x14ac:dyDescent="0.3">
      <c r="E47" s="10"/>
      <c r="N47" s="93"/>
      <c r="O47" s="93"/>
      <c r="P47" s="93"/>
      <c r="Q47" s="26"/>
    </row>
    <row r="48" spans="1:17" x14ac:dyDescent="0.3">
      <c r="E48" s="10"/>
      <c r="N48" s="93"/>
      <c r="O48" s="93"/>
      <c r="P48" s="93"/>
      <c r="Q48" s="26"/>
    </row>
    <row r="49" spans="5:16" x14ac:dyDescent="0.3">
      <c r="E49" s="97"/>
      <c r="F49" s="18"/>
      <c r="G49" s="18"/>
      <c r="H49" s="18"/>
      <c r="I49" s="18"/>
      <c r="J49" s="18"/>
      <c r="K49" s="18"/>
      <c r="L49" s="18"/>
      <c r="M49" s="18"/>
      <c r="N49" s="101"/>
      <c r="O49" s="101"/>
      <c r="P49" s="101"/>
    </row>
    <row r="50" spans="5:16" x14ac:dyDescent="0.3">
      <c r="N50" s="93"/>
      <c r="O50" s="93"/>
      <c r="P50" s="93"/>
    </row>
    <row r="51" spans="5:16" x14ac:dyDescent="0.3">
      <c r="N51" s="93"/>
      <c r="O51" s="93"/>
      <c r="P51" s="93"/>
    </row>
    <row r="52" spans="5:16" x14ac:dyDescent="0.3">
      <c r="N52" s="93"/>
      <c r="O52" s="93"/>
      <c r="P52" s="93"/>
    </row>
    <row r="53" spans="5:16" x14ac:dyDescent="0.3">
      <c r="N53" s="93"/>
      <c r="O53" s="93"/>
      <c r="P53" s="93"/>
    </row>
    <row r="54" spans="5:16" x14ac:dyDescent="0.3">
      <c r="N54" s="93"/>
      <c r="O54" s="93"/>
      <c r="P54" s="93"/>
    </row>
    <row r="55" spans="5:16" x14ac:dyDescent="0.3">
      <c r="N55" s="93"/>
      <c r="O55" s="93"/>
      <c r="P55" s="93"/>
    </row>
    <row r="56" spans="5:16" x14ac:dyDescent="0.3">
      <c r="N56" s="93"/>
      <c r="O56" s="93"/>
      <c r="P56" s="93"/>
    </row>
    <row r="57" spans="5:16" x14ac:dyDescent="0.3">
      <c r="O57" s="93"/>
      <c r="P57" s="93"/>
    </row>
  </sheetData>
  <mergeCells count="22">
    <mergeCell ref="A30:A37"/>
    <mergeCell ref="A38:A44"/>
    <mergeCell ref="P2:P3"/>
    <mergeCell ref="A4:A15"/>
    <mergeCell ref="A16:A19"/>
    <mergeCell ref="A20:A29"/>
    <mergeCell ref="A1:A3"/>
    <mergeCell ref="B2:B3"/>
    <mergeCell ref="C2:C3"/>
    <mergeCell ref="D2:D3"/>
    <mergeCell ref="K2:K3"/>
    <mergeCell ref="L2:L3"/>
    <mergeCell ref="B1:D1"/>
    <mergeCell ref="E1:J1"/>
    <mergeCell ref="K1:M1"/>
    <mergeCell ref="N1:P1"/>
    <mergeCell ref="E2:F2"/>
    <mergeCell ref="G2:H2"/>
    <mergeCell ref="I2:J2"/>
    <mergeCell ref="M2:M3"/>
    <mergeCell ref="N2:N3"/>
    <mergeCell ref="O2:O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8615773813628</cp:lastModifiedBy>
  <dcterms:created xsi:type="dcterms:W3CDTF">2015-06-05T18:19:34Z</dcterms:created>
  <dcterms:modified xsi:type="dcterms:W3CDTF">2025-07-13T13:58:38Z</dcterms:modified>
</cp:coreProperties>
</file>